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ichaelgillis/Downloads/"/>
    </mc:Choice>
  </mc:AlternateContent>
  <xr:revisionPtr revIDLastSave="0" documentId="13_ncr:1_{C4E94D2B-CD0C-534F-B89A-6D71EF27E2A0}" xr6:coauthVersionLast="47" xr6:coauthVersionMax="47" xr10:uidLastSave="{00000000-0000-0000-0000-000000000000}"/>
  <bookViews>
    <workbookView xWindow="0" yWindow="760" windowWidth="29400" windowHeight="16320" activeTab="6" xr2:uid="{AA5139D5-92AC-0345-ABCD-786229EB52A6}"/>
  </bookViews>
  <sheets>
    <sheet name="Account Statements" sheetId="1" r:id="rId1"/>
    <sheet name="Credit Card Statements" sheetId="2" r:id="rId2"/>
    <sheet name="Account Info" sheetId="3" r:id="rId3"/>
    <sheet name="Credit Card Info" sheetId="4" r:id="rId4"/>
    <sheet name="Retirement" sheetId="5" r:id="rId5"/>
    <sheet name="Credit Score" sheetId="7" r:id="rId6"/>
    <sheet name="Subscriptions" sheetId="8" r:id="rId7"/>
    <sheet name="Check Ledger" sheetId="9" r:id="rId8"/>
  </sheets>
  <definedNames>
    <definedName name="_xlnm._FilterDatabase" localSheetId="0" hidden="1">'Account Statements'!$A$1:$F$206</definedName>
  </definedNames>
  <calcPr calcId="191028"/>
  <pivotCaches>
    <pivotCache cacheId="1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8" i="2" l="1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2" i="2"/>
  <c r="A3" i="3"/>
  <c r="A4" i="3"/>
  <c r="A5" i="3"/>
  <c r="A6" i="3"/>
  <c r="A7" i="3"/>
  <c r="A8" i="3"/>
  <c r="A2" i="3"/>
  <c r="A3" i="4"/>
  <c r="A2" i="4"/>
</calcChain>
</file>

<file path=xl/sharedStrings.xml><?xml version="1.0" encoding="utf-8"?>
<sst xmlns="http://schemas.openxmlformats.org/spreadsheetml/2006/main" count="636" uniqueCount="80">
  <si>
    <t>DATE</t>
  </si>
  <si>
    <t>ACCOUNT</t>
  </si>
  <si>
    <t>NET CHANGE</t>
  </si>
  <si>
    <t>INTEREST</t>
  </si>
  <si>
    <t>CONTRIBUTION</t>
  </si>
  <si>
    <t>EMPLOYER MATCH</t>
  </si>
  <si>
    <t>Savings</t>
  </si>
  <si>
    <t>Checking</t>
  </si>
  <si>
    <t>Roth IRA</t>
  </si>
  <si>
    <t>High Yield Savings</t>
  </si>
  <si>
    <t>401(k)</t>
  </si>
  <si>
    <t>CARD</t>
  </si>
  <si>
    <t>STATEMENT BALANCE</t>
  </si>
  <si>
    <t>STATEMENT PAID</t>
  </si>
  <si>
    <t>CASH BACK USED</t>
  </si>
  <si>
    <t>LIMIT</t>
  </si>
  <si>
    <t>PAID</t>
  </si>
  <si>
    <t>Account Type</t>
  </si>
  <si>
    <t>Firm</t>
  </si>
  <si>
    <t>Opened</t>
  </si>
  <si>
    <t>SortOrder</t>
  </si>
  <si>
    <t>A</t>
  </si>
  <si>
    <t>B</t>
  </si>
  <si>
    <t>C</t>
  </si>
  <si>
    <t>D</t>
  </si>
  <si>
    <t>E</t>
  </si>
  <si>
    <t>F</t>
  </si>
  <si>
    <t>G</t>
  </si>
  <si>
    <t>Limit</t>
  </si>
  <si>
    <t>Values</t>
  </si>
  <si>
    <t>Interest Earned</t>
  </si>
  <si>
    <t>Employee Contribution</t>
  </si>
  <si>
    <t>Employer Matched</t>
  </si>
  <si>
    <t>Archived</t>
  </si>
  <si>
    <t>APR</t>
  </si>
  <si>
    <t>Compound Per Year</t>
  </si>
  <si>
    <t>Account Name</t>
  </si>
  <si>
    <t>CD</t>
  </si>
  <si>
    <t>Archive Savings</t>
  </si>
  <si>
    <t>Closed</t>
  </si>
  <si>
    <t>Archive CD</t>
  </si>
  <si>
    <t>FidelityRothIRA2023</t>
  </si>
  <si>
    <t>ADP401(k)2024</t>
  </si>
  <si>
    <t>Card Name</t>
  </si>
  <si>
    <t>Card Alias</t>
  </si>
  <si>
    <t>Score</t>
  </si>
  <si>
    <t>Date</t>
  </si>
  <si>
    <t>Name</t>
  </si>
  <si>
    <t>Price</t>
  </si>
  <si>
    <t>Check No.</t>
  </si>
  <si>
    <t>Payable To</t>
  </si>
  <si>
    <t>Amount</t>
  </si>
  <si>
    <t>Cleared?</t>
  </si>
  <si>
    <t>Y</t>
  </si>
  <si>
    <t>Interest Bearing</t>
  </si>
  <si>
    <t>Liquid</t>
  </si>
  <si>
    <t>Non-Liquid</t>
  </si>
  <si>
    <t>Asset Type</t>
  </si>
  <si>
    <t>Account ID</t>
  </si>
  <si>
    <t>Institution A</t>
  </si>
  <si>
    <t>Institution B</t>
  </si>
  <si>
    <t>Institution C</t>
  </si>
  <si>
    <t>Institution D</t>
  </si>
  <si>
    <t>Institution E</t>
  </si>
  <si>
    <t>InstitutionASavings2020</t>
  </si>
  <si>
    <t>InstitutionBSavings2020</t>
  </si>
  <si>
    <t>InstitutionBChecking2020</t>
  </si>
  <si>
    <t>InstitutionCRothIRA2020</t>
  </si>
  <si>
    <t>InstitutionC401(k)2020</t>
  </si>
  <si>
    <t>InstitutionDCD2020</t>
  </si>
  <si>
    <t>InstitutionESavings2020</t>
  </si>
  <si>
    <t>Subscription 1</t>
  </si>
  <si>
    <t>Subscription 2</t>
  </si>
  <si>
    <t>Person A</t>
  </si>
  <si>
    <t>Person B</t>
  </si>
  <si>
    <t>Person C</t>
  </si>
  <si>
    <t>Card A</t>
  </si>
  <si>
    <t>Card B</t>
  </si>
  <si>
    <t>CardA2020</t>
  </si>
  <si>
    <t>CardB2020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</si>
</sst>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7FFB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7C0"/>
        <bgColor indexed="64"/>
      </patternFill>
    </fill>
    <fill>
      <patternFill patternType="solid">
        <fgColor rgb="FFDBF2D0"/>
        <bgColor indexed="64"/>
      </patternFill>
    </fill>
    <fill>
      <patternFill patternType="solid">
        <fgColor rgb="FFFFD4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1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0" fontId="0" fillId="5" borderId="0" xfId="0" applyFill="1" applyAlignment="1">
      <alignment horizontal="center"/>
    </xf>
    <xf numFmtId="164" fontId="0" fillId="2" borderId="0" xfId="0" applyNumberFormat="1" applyFill="1"/>
    <xf numFmtId="0" fontId="0" fillId="6" borderId="0" xfId="0" applyFill="1"/>
    <xf numFmtId="0" fontId="2" fillId="6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F2D0"/>
      <color rgb="FFFFD4F4"/>
      <color rgb="FFF7FFB1"/>
      <color rgb="FFFFD7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Gillis" refreshedDate="46147.755959722221" createdVersion="8" refreshedVersion="8" minRefreshableVersion="3" recordCount="206" xr:uid="{A601ACF5-BDF5-194E-BFFA-5152BAEABB15}">
  <cacheSource type="worksheet">
    <worksheetSource ref="A1:F197176" sheet="Account Statements"/>
  </cacheSource>
  <cacheFields count="6">
    <cacheField name="DATE" numFmtId="0">
      <sharedItems containsNonDate="0" containsDate="1" containsString="0" containsBlank="1" minDate="2020-09-30T00:00:00" maxDate="2026-05-01T00:00:00"/>
    </cacheField>
    <cacheField name="ACCOUNT" numFmtId="0">
      <sharedItems containsBlank="1" count="9">
        <s v="RocklandTrustSavings2020"/>
        <s v="RocklandTrustChecking2020"/>
        <s v="FidelityBrokerage2021"/>
        <s v="WebsterFirstCD2023"/>
        <s v="WebsterFirstSavings2023"/>
        <s v="FidelityRothIRA2023"/>
        <s v="DiscoverSavings2024"/>
        <s v="ADP401(k)2024"/>
        <m/>
      </sharedItems>
    </cacheField>
    <cacheField name="NET CHANGE" numFmtId="0">
      <sharedItems containsString="0" containsBlank="1" containsNumber="1" minValue="-15500.05" maxValue="20136.189999999999"/>
    </cacheField>
    <cacheField name="INTEREST" numFmtId="0">
      <sharedItems containsString="0" containsBlank="1" containsNumber="1" minValue="-324.25" maxValue="487.61"/>
    </cacheField>
    <cacheField name="CONTRIBUTION" numFmtId="0">
      <sharedItems containsString="0" containsBlank="1" containsNumber="1" minValue="-74.7800000000002" maxValue="583"/>
    </cacheField>
    <cacheField name="EMPLOYER MATCH" numFmtId="0">
      <sharedItems containsString="0" containsBlank="1" containsNumber="1" minValue="0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d v="2020-09-30T00:00:00"/>
    <x v="0"/>
    <n v="600.02"/>
    <n v="0"/>
    <n v="0"/>
    <n v="0"/>
  </r>
  <r>
    <d v="2020-09-30T00:00:00"/>
    <x v="1"/>
    <n v="500"/>
    <n v="0"/>
    <n v="0"/>
    <n v="0"/>
  </r>
  <r>
    <d v="2020-11-30T00:00:00"/>
    <x v="0"/>
    <n v="50.08"/>
    <n v="0"/>
    <n v="0"/>
    <n v="0"/>
  </r>
  <r>
    <d v="2020-11-30T00:00:00"/>
    <x v="1"/>
    <n v="0"/>
    <n v="0"/>
    <n v="0"/>
    <n v="0"/>
  </r>
  <r>
    <d v="2020-12-31T00:00:00"/>
    <x v="0"/>
    <n v="55.04"/>
    <n v="0"/>
    <n v="0"/>
    <n v="0"/>
  </r>
  <r>
    <d v="2021-01-31T00:00:00"/>
    <x v="0"/>
    <n v="535.08000000000004"/>
    <n v="0"/>
    <n v="0"/>
    <n v="0"/>
  </r>
  <r>
    <d v="2021-02-28T00:00:00"/>
    <x v="0"/>
    <n v="4730.5200000000004"/>
    <n v="0"/>
    <n v="0"/>
    <n v="0"/>
  </r>
  <r>
    <d v="2021-02-28T00:00:00"/>
    <x v="1"/>
    <n v="0"/>
    <n v="0"/>
    <n v="0"/>
    <n v="0"/>
  </r>
  <r>
    <d v="2021-03-31T00:00:00"/>
    <x v="0"/>
    <n v="80.38"/>
    <n v="0"/>
    <n v="0"/>
    <n v="0"/>
  </r>
  <r>
    <d v="2021-05-31T00:00:00"/>
    <x v="1"/>
    <n v="0"/>
    <n v="0"/>
    <n v="0"/>
    <n v="0"/>
  </r>
  <r>
    <d v="2021-06-30T00:00:00"/>
    <x v="0"/>
    <n v="1801.26"/>
    <n v="0"/>
    <n v="0"/>
    <n v="0"/>
  </r>
  <r>
    <d v="2021-07-31T00:00:00"/>
    <x v="0"/>
    <n v="830.57"/>
    <n v="0"/>
    <n v="0"/>
    <n v="0"/>
  </r>
  <r>
    <d v="2021-08-31T00:00:00"/>
    <x v="0"/>
    <n v="1650.64"/>
    <n v="0"/>
    <n v="0"/>
    <n v="0"/>
  </r>
  <r>
    <d v="2021-08-31T00:00:00"/>
    <x v="1"/>
    <n v="-22.57"/>
    <n v="0"/>
    <n v="0"/>
    <n v="0"/>
  </r>
  <r>
    <d v="2021-08-31T00:00:00"/>
    <x v="2"/>
    <n v="2368.62"/>
    <n v="0"/>
    <n v="0"/>
    <n v="0"/>
  </r>
  <r>
    <d v="2021-09-30T00:00:00"/>
    <x v="0"/>
    <n v="400.45"/>
    <n v="0"/>
    <n v="0"/>
    <n v="0"/>
  </r>
  <r>
    <d v="2021-09-30T00:00:00"/>
    <x v="1"/>
    <n v="327.45"/>
    <n v="0"/>
    <n v="0"/>
    <n v="0"/>
  </r>
  <r>
    <d v="2021-09-30T00:00:00"/>
    <x v="2"/>
    <n v="121.54"/>
    <n v="0"/>
    <n v="0"/>
    <n v="0"/>
  </r>
  <r>
    <d v="2021-10-31T00:00:00"/>
    <x v="0"/>
    <n v="100.44"/>
    <n v="0"/>
    <n v="0"/>
    <n v="0"/>
  </r>
  <r>
    <d v="2021-10-31T00:00:00"/>
    <x v="1"/>
    <n v="-309.99"/>
    <n v="0"/>
    <n v="0"/>
    <n v="0"/>
  </r>
  <r>
    <d v="2021-10-31T00:00:00"/>
    <x v="2"/>
    <n v="123.65"/>
    <n v="0"/>
    <n v="0"/>
    <n v="0"/>
  </r>
  <r>
    <d v="2021-11-30T00:00:00"/>
    <x v="0"/>
    <n v="0.31"/>
    <n v="0"/>
    <n v="0"/>
    <n v="0"/>
  </r>
  <r>
    <d v="2021-11-30T00:00:00"/>
    <x v="0"/>
    <n v="-169.94"/>
    <n v="0"/>
    <n v="0"/>
    <n v="0"/>
  </r>
  <r>
    <d v="2021-11-30T00:00:00"/>
    <x v="1"/>
    <n v="112.9"/>
    <n v="0"/>
    <n v="0"/>
    <n v="0"/>
  </r>
  <r>
    <d v="2021-12-31T00:00:00"/>
    <x v="1"/>
    <n v="-183"/>
    <n v="0"/>
    <n v="0"/>
    <n v="0"/>
  </r>
  <r>
    <d v="2021-12-31T00:00:00"/>
    <x v="2"/>
    <n v="-114.08"/>
    <n v="0"/>
    <n v="0"/>
    <n v="0"/>
  </r>
  <r>
    <d v="2022-01-31T00:00:00"/>
    <x v="0"/>
    <n v="1100.0899999999999"/>
    <n v="0"/>
    <n v="0"/>
    <n v="0"/>
  </r>
  <r>
    <d v="2022-01-31T00:00:00"/>
    <x v="1"/>
    <n v="-62.65"/>
    <n v="0"/>
    <n v="0"/>
    <n v="0"/>
  </r>
  <r>
    <d v="2022-01-31T00:00:00"/>
    <x v="2"/>
    <n v="283"/>
    <n v="0"/>
    <n v="0"/>
    <n v="0"/>
  </r>
  <r>
    <d v="2022-02-28T00:00:00"/>
    <x v="1"/>
    <n v="212.83"/>
    <n v="0"/>
    <n v="0"/>
    <n v="0"/>
  </r>
  <r>
    <d v="2022-02-28T00:00:00"/>
    <x v="2"/>
    <n v="-141.6"/>
    <n v="0"/>
    <n v="0"/>
    <n v="0"/>
  </r>
  <r>
    <d v="2022-03-31T00:00:00"/>
    <x v="0"/>
    <n v="340.29"/>
    <n v="0"/>
    <n v="0"/>
    <n v="0"/>
  </r>
  <r>
    <d v="2022-03-31T00:00:00"/>
    <x v="1"/>
    <n v="-386.72"/>
    <n v="0"/>
    <n v="0"/>
    <n v="0"/>
  </r>
  <r>
    <d v="2022-03-31T00:00:00"/>
    <x v="2"/>
    <n v="142.35"/>
    <n v="0"/>
    <n v="0"/>
    <n v="0"/>
  </r>
  <r>
    <d v="2022-04-30T00:00:00"/>
    <x v="1"/>
    <n v="366.09"/>
    <n v="0"/>
    <n v="0"/>
    <n v="0"/>
  </r>
  <r>
    <d v="2022-05-31T00:00:00"/>
    <x v="0"/>
    <n v="-299.89999999999998"/>
    <n v="0"/>
    <n v="0"/>
    <n v="0"/>
  </r>
  <r>
    <d v="2022-05-31T00:00:00"/>
    <x v="1"/>
    <n v="736.62"/>
    <n v="0"/>
    <n v="0"/>
    <n v="0"/>
  </r>
  <r>
    <d v="2022-05-31T00:00:00"/>
    <x v="2"/>
    <n v="-383.08"/>
    <n v="0"/>
    <n v="0"/>
    <n v="0"/>
  </r>
  <r>
    <d v="2022-06-30T00:00:00"/>
    <x v="0"/>
    <n v="50.2"/>
    <n v="0"/>
    <n v="0"/>
    <n v="0"/>
  </r>
  <r>
    <d v="2022-06-30T00:00:00"/>
    <x v="1"/>
    <n v="296.60000000000002"/>
    <n v="0"/>
    <n v="0"/>
    <n v="0"/>
  </r>
  <r>
    <d v="2022-06-30T00:00:00"/>
    <x v="2"/>
    <n v="-181.75"/>
    <n v="0"/>
    <n v="0"/>
    <n v="0"/>
  </r>
  <r>
    <d v="2022-07-31T00:00:00"/>
    <x v="1"/>
    <n v="75.62"/>
    <n v="0"/>
    <n v="0"/>
    <n v="0"/>
  </r>
  <r>
    <d v="2022-08-31T00:00:00"/>
    <x v="1"/>
    <n v="-141.5"/>
    <n v="0"/>
    <n v="0"/>
    <n v="0"/>
  </r>
  <r>
    <d v="2022-08-31T00:00:00"/>
    <x v="2"/>
    <n v="375.7"/>
    <n v="0"/>
    <n v="0"/>
    <n v="0"/>
  </r>
  <r>
    <d v="2022-09-30T00:00:00"/>
    <x v="0"/>
    <n v="1010.45"/>
    <n v="0"/>
    <n v="0"/>
    <n v="0"/>
  </r>
  <r>
    <d v="2022-09-30T00:00:00"/>
    <x v="1"/>
    <n v="-324.83999999999997"/>
    <n v="0"/>
    <n v="0"/>
    <n v="0"/>
  </r>
  <r>
    <d v="2022-09-30T00:00:00"/>
    <x v="2"/>
    <n v="-176.47"/>
    <n v="0"/>
    <n v="0"/>
    <n v="0"/>
  </r>
  <r>
    <d v="2022-10-31T00:00:00"/>
    <x v="1"/>
    <n v="-213.36"/>
    <n v="0"/>
    <n v="0"/>
    <n v="0"/>
  </r>
  <r>
    <d v="2022-11-30T00:00:00"/>
    <x v="1"/>
    <n v="-231.45"/>
    <n v="0"/>
    <n v="0"/>
    <n v="0"/>
  </r>
  <r>
    <d v="2022-12-31T00:00:00"/>
    <x v="0"/>
    <n v="605.33000000000004"/>
    <n v="0"/>
    <n v="0"/>
    <n v="0"/>
  </r>
  <r>
    <d v="2022-12-31T00:00:00"/>
    <x v="1"/>
    <n v="925.74"/>
    <n v="0"/>
    <n v="0"/>
    <n v="0"/>
  </r>
  <r>
    <d v="2022-12-31T00:00:00"/>
    <x v="2"/>
    <n v="100.87"/>
    <n v="0"/>
    <n v="0"/>
    <n v="0"/>
  </r>
  <r>
    <d v="2023-01-31T00:00:00"/>
    <x v="1"/>
    <n v="-201.67"/>
    <n v="0"/>
    <n v="0"/>
    <n v="0"/>
  </r>
  <r>
    <d v="2023-01-31T00:00:00"/>
    <x v="2"/>
    <n v="7.83"/>
    <n v="0"/>
    <n v="0"/>
    <n v="0"/>
  </r>
  <r>
    <d v="2023-02-28T00:00:00"/>
    <x v="1"/>
    <n v="-150.99"/>
    <n v="0"/>
    <n v="0"/>
    <n v="0"/>
  </r>
  <r>
    <d v="2023-03-31T00:00:00"/>
    <x v="0"/>
    <n v="518.35"/>
    <n v="0"/>
    <n v="0"/>
    <n v="0"/>
  </r>
  <r>
    <d v="2023-03-31T00:00:00"/>
    <x v="1"/>
    <n v="-320.49"/>
    <n v="0"/>
    <n v="0"/>
    <n v="0"/>
  </r>
  <r>
    <d v="2023-03-31T00:00:00"/>
    <x v="2"/>
    <n v="17.37"/>
    <n v="0"/>
    <n v="0"/>
    <n v="0"/>
  </r>
  <r>
    <d v="2023-04-30T00:00:00"/>
    <x v="1"/>
    <n v="-49.74"/>
    <n v="0"/>
    <n v="0"/>
    <n v="0"/>
  </r>
  <r>
    <d v="2023-05-31T00:00:00"/>
    <x v="1"/>
    <n v="1132.68"/>
    <n v="0"/>
    <n v="0"/>
    <n v="0"/>
  </r>
  <r>
    <d v="2023-06-09T00:00:00"/>
    <x v="3"/>
    <n v="15000"/>
    <n v="0"/>
    <n v="0"/>
    <n v="0"/>
  </r>
  <r>
    <d v="2023-06-09T00:00:00"/>
    <x v="4"/>
    <n v="5"/>
    <n v="0"/>
    <n v="0"/>
    <n v="0"/>
  </r>
  <r>
    <d v="2023-06-30T00:00:00"/>
    <x v="0"/>
    <n v="-10989.61"/>
    <n v="0"/>
    <n v="0"/>
    <n v="0"/>
  </r>
  <r>
    <d v="2023-06-30T00:00:00"/>
    <x v="1"/>
    <n v="284.74"/>
    <n v="0"/>
    <n v="0"/>
    <n v="0"/>
  </r>
  <r>
    <d v="2023-06-30T00:00:00"/>
    <x v="3"/>
    <n v="40.74"/>
    <n v="40.74"/>
    <n v="0"/>
    <n v="0"/>
  </r>
  <r>
    <d v="2023-06-30T00:00:00"/>
    <x v="4"/>
    <n v="0"/>
    <n v="0"/>
    <n v="0"/>
    <n v="0"/>
  </r>
  <r>
    <d v="2023-06-30T00:00:00"/>
    <x v="2"/>
    <n v="-2540.29"/>
    <n v="0"/>
    <n v="0"/>
    <n v="0"/>
  </r>
  <r>
    <d v="2023-07-31T00:00:00"/>
    <x v="0"/>
    <n v="100.03"/>
    <n v="0"/>
    <n v="0"/>
    <n v="0"/>
  </r>
  <r>
    <d v="2023-07-31T00:00:00"/>
    <x v="1"/>
    <n v="1345.46"/>
    <n v="0"/>
    <n v="0"/>
    <n v="0"/>
  </r>
  <r>
    <d v="2023-07-31T00:00:00"/>
    <x v="3"/>
    <n v="57.59"/>
    <n v="57.59"/>
    <n v="0"/>
    <n v="0"/>
  </r>
  <r>
    <d v="2023-08-31T00:00:00"/>
    <x v="0"/>
    <n v="4500.05"/>
    <n v="0"/>
    <n v="0"/>
    <n v="0"/>
  </r>
  <r>
    <d v="2023-08-31T00:00:00"/>
    <x v="1"/>
    <n v="-2926.94"/>
    <n v="0"/>
    <n v="0"/>
    <n v="0"/>
  </r>
  <r>
    <d v="2023-08-31T00:00:00"/>
    <x v="3"/>
    <n v="57.81"/>
    <n v="57.81"/>
    <n v="0"/>
    <n v="0"/>
  </r>
  <r>
    <d v="2023-09-30T00:00:00"/>
    <x v="0"/>
    <n v="700.07"/>
    <n v="0"/>
    <n v="0"/>
    <n v="0"/>
  </r>
  <r>
    <d v="2023-09-30T00:00:00"/>
    <x v="1"/>
    <n v="273.33"/>
    <n v="0"/>
    <n v="0"/>
    <n v="0"/>
  </r>
  <r>
    <d v="2023-09-30T00:00:00"/>
    <x v="3"/>
    <n v="56.16"/>
    <n v="56.16"/>
    <n v="0"/>
    <n v="0"/>
  </r>
  <r>
    <d v="2023-09-30T00:00:00"/>
    <x v="4"/>
    <n v="0"/>
    <n v="0"/>
    <n v="0"/>
    <n v="0"/>
  </r>
  <r>
    <d v="2023-09-30T00:00:00"/>
    <x v="2"/>
    <n v="0.05"/>
    <n v="0"/>
    <n v="0"/>
    <n v="0"/>
  </r>
  <r>
    <d v="2023-10-31T00:00:00"/>
    <x v="1"/>
    <n v="334.92"/>
    <n v="0"/>
    <n v="0"/>
    <n v="0"/>
  </r>
  <r>
    <d v="2023-10-31T00:00:00"/>
    <x v="3"/>
    <n v="58.25"/>
    <n v="58.25"/>
    <n v="0"/>
    <n v="0"/>
  </r>
  <r>
    <d v="2023-11-30T00:00:00"/>
    <x v="1"/>
    <n v="565.64"/>
    <n v="0"/>
    <n v="0"/>
    <n v="0"/>
  </r>
  <r>
    <d v="2023-11-30T00:00:00"/>
    <x v="3"/>
    <n v="56.58"/>
    <n v="56.58"/>
    <n v="0"/>
    <n v="0"/>
  </r>
  <r>
    <d v="2023-12-30T00:00:00"/>
    <x v="4"/>
    <n v="0"/>
    <n v="0"/>
    <n v="0"/>
    <n v="0"/>
  </r>
  <r>
    <d v="2023-12-31T00:00:00"/>
    <x v="0"/>
    <n v="1500.21"/>
    <n v="0"/>
    <n v="0"/>
    <n v="0"/>
  </r>
  <r>
    <d v="2023-12-31T00:00:00"/>
    <x v="1"/>
    <n v="58.14"/>
    <n v="0"/>
    <n v="0"/>
    <n v="0"/>
  </r>
  <r>
    <d v="2023-12-31T00:00:00"/>
    <x v="5"/>
    <n v="13.76"/>
    <n v="0"/>
    <n v="13.76"/>
    <n v="0"/>
  </r>
  <r>
    <d v="2023-12-31T00:00:00"/>
    <x v="3"/>
    <n v="58.69"/>
    <n v="58.69"/>
    <n v="0"/>
    <n v="0"/>
  </r>
  <r>
    <d v="2023-12-31T00:00:00"/>
    <x v="2"/>
    <n v="-3.7"/>
    <n v="0"/>
    <n v="0"/>
    <n v="0"/>
  </r>
  <r>
    <d v="2024-01-31T00:00:00"/>
    <x v="0"/>
    <n v="-999.92"/>
    <n v="0"/>
    <n v="0"/>
    <n v="0"/>
  </r>
  <r>
    <d v="2024-01-31T00:00:00"/>
    <x v="1"/>
    <n v="-745.88"/>
    <n v="0"/>
    <n v="0"/>
    <n v="0"/>
  </r>
  <r>
    <d v="2024-01-31T00:00:00"/>
    <x v="5"/>
    <n v="101.96"/>
    <n v="1.9599999999999937"/>
    <n v="100"/>
    <n v="0"/>
  </r>
  <r>
    <d v="2024-01-31T00:00:00"/>
    <x v="3"/>
    <n v="58.91"/>
    <n v="58.91"/>
    <n v="0"/>
    <n v="0"/>
  </r>
  <r>
    <d v="2024-02-29T00:00:00"/>
    <x v="1"/>
    <n v="182.01"/>
    <n v="0"/>
    <n v="0"/>
    <n v="0"/>
  </r>
  <r>
    <d v="2024-02-29T00:00:00"/>
    <x v="5"/>
    <n v="107.43"/>
    <n v="7.4300000000000068"/>
    <n v="100"/>
    <n v="0"/>
  </r>
  <r>
    <d v="2024-02-29T00:00:00"/>
    <x v="3"/>
    <n v="55.32"/>
    <n v="55.32"/>
    <n v="0"/>
    <n v="0"/>
  </r>
  <r>
    <d v="2024-03-09T00:00:00"/>
    <x v="3"/>
    <n v="-15500.05"/>
    <n v="0"/>
    <n v="0"/>
    <n v="0"/>
  </r>
  <r>
    <d v="2024-03-09T00:00:00"/>
    <x v="4"/>
    <n v="-5"/>
    <n v="0"/>
    <n v="0"/>
    <n v="0"/>
  </r>
  <r>
    <d v="2024-03-24T00:00:00"/>
    <x v="6"/>
    <n v="20000"/>
    <n v="0"/>
    <n v="0"/>
    <n v="0"/>
  </r>
  <r>
    <d v="2024-03-31T00:00:00"/>
    <x v="6"/>
    <n v="13.69"/>
    <n v="13.69"/>
    <n v="0"/>
    <n v="0"/>
  </r>
  <r>
    <d v="2024-03-31T00:00:00"/>
    <x v="0"/>
    <n v="-4479.46"/>
    <n v="0"/>
    <n v="0"/>
    <n v="0"/>
  </r>
  <r>
    <d v="2024-03-31T00:00:00"/>
    <x v="1"/>
    <n v="557.09"/>
    <n v="0"/>
    <n v="0"/>
    <n v="0"/>
  </r>
  <r>
    <d v="2024-03-31T00:00:00"/>
    <x v="5"/>
    <n v="109.33"/>
    <n v="9.3299999999999983"/>
    <n v="100"/>
    <n v="0"/>
  </r>
  <r>
    <d v="2024-04-30T00:00:00"/>
    <x v="6"/>
    <n v="1479.02"/>
    <n v="70.02"/>
    <n v="0"/>
    <n v="0"/>
  </r>
  <r>
    <d v="2024-04-30T00:00:00"/>
    <x v="0"/>
    <n v="-3321.02"/>
    <n v="0"/>
    <n v="0"/>
    <n v="0"/>
  </r>
  <r>
    <d v="2024-04-30T00:00:00"/>
    <x v="1"/>
    <n v="3655.04"/>
    <n v="0"/>
    <n v="0"/>
    <n v="0"/>
  </r>
  <r>
    <d v="2024-04-30T00:00:00"/>
    <x v="5"/>
    <n v="85.35"/>
    <n v="-14.650000000000006"/>
    <n v="100"/>
    <n v="0"/>
  </r>
  <r>
    <d v="2024-05-31T00:00:00"/>
    <x v="6"/>
    <n v="2078.84"/>
    <n v="78.84"/>
    <n v="0"/>
    <n v="0"/>
  </r>
  <r>
    <d v="2024-05-31T00:00:00"/>
    <x v="1"/>
    <n v="-1322.43"/>
    <n v="0"/>
    <n v="0"/>
    <n v="0"/>
  </r>
  <r>
    <d v="2024-05-31T00:00:00"/>
    <x v="5"/>
    <n v="119.45"/>
    <n v="19.450000000000003"/>
    <n v="100"/>
    <n v="0"/>
  </r>
  <r>
    <d v="2024-06-30T00:00:00"/>
    <x v="6"/>
    <n v="80.77"/>
    <n v="80.77"/>
    <n v="0"/>
    <n v="0"/>
  </r>
  <r>
    <d v="2024-06-30T00:00:00"/>
    <x v="0"/>
    <n v="0.02"/>
    <n v="0.02"/>
    <n v="0"/>
    <n v="0"/>
  </r>
  <r>
    <d v="2024-06-30T00:00:00"/>
    <x v="1"/>
    <n v="166.04"/>
    <n v="0"/>
    <n v="0"/>
    <n v="0"/>
  </r>
  <r>
    <d v="2024-06-30T00:00:00"/>
    <x v="5"/>
    <n v="9.6"/>
    <n v="9.6"/>
    <n v="0"/>
    <n v="0"/>
  </r>
  <r>
    <d v="2024-07-31T00:00:00"/>
    <x v="6"/>
    <n v="83.75"/>
    <n v="83.75"/>
    <n v="0"/>
    <n v="0"/>
  </r>
  <r>
    <d v="2024-07-31T00:00:00"/>
    <x v="1"/>
    <n v="-945.53"/>
    <n v="0"/>
    <n v="0"/>
    <n v="0"/>
  </r>
  <r>
    <d v="2024-07-31T00:00:00"/>
    <x v="5"/>
    <n v="11.94"/>
    <n v="11.94"/>
    <n v="0"/>
    <n v="0"/>
  </r>
  <r>
    <d v="2024-08-31T00:00:00"/>
    <x v="6"/>
    <n v="84.05"/>
    <n v="84.05"/>
    <n v="0"/>
    <n v="0"/>
  </r>
  <r>
    <d v="2024-08-31T00:00:00"/>
    <x v="1"/>
    <n v="1277.3900000000001"/>
    <n v="0"/>
    <n v="0"/>
    <n v="0"/>
  </r>
  <r>
    <d v="2024-08-31T00:00:00"/>
    <x v="5"/>
    <n v="266.45"/>
    <n v="16.449999999999989"/>
    <n v="250"/>
    <n v="0"/>
  </r>
  <r>
    <d v="2024-09-30T00:00:00"/>
    <x v="6"/>
    <n v="80.58"/>
    <n v="80.58"/>
    <n v="0"/>
    <n v="0"/>
  </r>
  <r>
    <d v="2024-09-30T00:00:00"/>
    <x v="0"/>
    <n v="0.03"/>
    <n v="0.03"/>
    <n v="0"/>
    <n v="0"/>
  </r>
  <r>
    <d v="2024-09-30T00:00:00"/>
    <x v="1"/>
    <n v="-565.1"/>
    <n v="0"/>
    <n v="0"/>
    <n v="0"/>
  </r>
  <r>
    <d v="2024-09-30T00:00:00"/>
    <x v="5"/>
    <n v="273.04000000000002"/>
    <n v="23.04000000000002"/>
    <n v="250"/>
    <n v="0"/>
  </r>
  <r>
    <d v="2024-10-31T00:00:00"/>
    <x v="6"/>
    <n v="2081.9299999999998"/>
    <n v="81.93"/>
    <n v="0"/>
    <n v="0"/>
  </r>
  <r>
    <d v="2024-10-31T00:00:00"/>
    <x v="1"/>
    <n v="2997.81"/>
    <n v="0"/>
    <n v="0"/>
    <n v="0"/>
  </r>
  <r>
    <d v="2024-10-31T00:00:00"/>
    <x v="5"/>
    <n v="221.47"/>
    <n v="-28.53"/>
    <n v="250"/>
    <n v="0"/>
  </r>
  <r>
    <d v="2024-10-31T00:00:00"/>
    <x v="7"/>
    <n v="212.3"/>
    <n v="86.15"/>
    <n v="126.15"/>
    <n v="0"/>
  </r>
  <r>
    <d v="2024-11-30T00:00:00"/>
    <x v="6"/>
    <n v="83.2"/>
    <n v="83.2"/>
    <n v="0"/>
    <n v="0"/>
  </r>
  <r>
    <d v="2024-11-30T00:00:00"/>
    <x v="1"/>
    <n v="-871.23"/>
    <n v="0"/>
    <n v="0"/>
    <n v="0"/>
  </r>
  <r>
    <d v="2024-11-30T00:00:00"/>
    <x v="5"/>
    <n v="306.66000000000003"/>
    <n v="56.660000000000025"/>
    <n v="250"/>
    <n v="0"/>
  </r>
  <r>
    <d v="2024-11-30T00:00:00"/>
    <x v="7"/>
    <n v="180.92000000000002"/>
    <n v="8.6200000000000045"/>
    <n v="172.3"/>
    <n v="0"/>
  </r>
  <r>
    <d v="2024-12-31T00:00:00"/>
    <x v="6"/>
    <n v="5170.57"/>
    <n v="89.94"/>
    <n v="0"/>
    <n v="0"/>
  </r>
  <r>
    <d v="2024-12-31T00:00:00"/>
    <x v="0"/>
    <n v="0.03"/>
    <n v="0.03"/>
    <n v="0"/>
    <n v="0"/>
  </r>
  <r>
    <d v="2024-12-31T00:00:00"/>
    <x v="1"/>
    <n v="-4897.59"/>
    <n v="0"/>
    <n v="0"/>
    <n v="0"/>
  </r>
  <r>
    <d v="2024-12-31T00:00:00"/>
    <x v="5"/>
    <n v="205.31999999999994"/>
    <n v="-44.680000000000064"/>
    <n v="250"/>
    <n v="0"/>
  </r>
  <r>
    <d v="2024-12-31T00:00:00"/>
    <x v="7"/>
    <n v="112.80999999999995"/>
    <n v="-8.210000000000063"/>
    <n v="129.24"/>
    <n v="0"/>
  </r>
  <r>
    <d v="2025-01-31T00:00:00"/>
    <x v="6"/>
    <n v="20136.189999999999"/>
    <n v="136.19"/>
    <n v="0"/>
    <n v="0"/>
  </r>
  <r>
    <d v="2025-01-31T00:00:00"/>
    <x v="1"/>
    <n v="693.46"/>
    <n v="0"/>
    <n v="0"/>
    <n v="0"/>
  </r>
  <r>
    <d v="2025-01-31T00:00:00"/>
    <x v="5"/>
    <n v="305.49"/>
    <n v="55.490000000000009"/>
    <n v="250"/>
    <n v="0"/>
  </r>
  <r>
    <d v="2025-01-31T00:00:00"/>
    <x v="7"/>
    <n v="156.22000000000003"/>
    <n v="22.480000000000018"/>
    <n v="133.74"/>
    <n v="0"/>
  </r>
  <r>
    <d v="2025-02-28T00:00:00"/>
    <x v="6"/>
    <n v="151.32"/>
    <n v="145.32"/>
    <n v="0"/>
    <n v="0"/>
  </r>
  <r>
    <d v="2025-02-28T00:00:00"/>
    <x v="1"/>
    <n v="535.78"/>
    <n v="0"/>
    <n v="0"/>
    <n v="0"/>
  </r>
  <r>
    <d v="2025-02-28T00:00:00"/>
    <x v="5"/>
    <n v="241.95"/>
    <n v="-8.0500000000000114"/>
    <n v="250"/>
    <n v="0"/>
  </r>
  <r>
    <d v="2025-02-28T00:00:00"/>
    <x v="7"/>
    <n v="618.43000000000006"/>
    <n v="-29.149999999999977"/>
    <n v="133.74"/>
    <n v="513.84"/>
  </r>
  <r>
    <d v="2025-03-31T00:00:00"/>
    <x v="6"/>
    <n v="159.43"/>
    <n v="159.43"/>
    <n v="0"/>
    <n v="0"/>
  </r>
  <r>
    <d v="2025-03-31T00:00:00"/>
    <x v="0"/>
    <n v="5.03"/>
    <n v="0.03"/>
    <n v="0"/>
    <n v="0"/>
  </r>
  <r>
    <d v="2025-03-31T00:00:00"/>
    <x v="1"/>
    <n v="-620.5"/>
    <n v="0"/>
    <n v="0"/>
    <n v="0"/>
  </r>
  <r>
    <d v="2025-03-31T00:00:00"/>
    <x v="5"/>
    <n v="170.35"/>
    <n v="-79.650000000000006"/>
    <n v="250"/>
    <n v="0"/>
  </r>
  <r>
    <d v="2025-03-31T00:00:00"/>
    <x v="7"/>
    <n v="109.90999999999985"/>
    <n v="-23.830000000000155"/>
    <n v="133.74"/>
    <n v="0"/>
  </r>
  <r>
    <d v="2025-04-30T00:00:00"/>
    <x v="6"/>
    <n v="2159.2600000000002"/>
    <n v="159.26"/>
    <n v="0"/>
    <n v="0"/>
  </r>
  <r>
    <d v="2025-04-30T00:00:00"/>
    <x v="1"/>
    <n v="2718.2199999999993"/>
    <n v="0"/>
    <n v="0"/>
    <n v="0"/>
  </r>
  <r>
    <d v="2025-04-30T00:00:00"/>
    <x v="5"/>
    <n v="270.3"/>
    <n v="20.300000000000011"/>
    <n v="250"/>
    <n v="0"/>
  </r>
  <r>
    <d v="2025-04-30T00:00:00"/>
    <x v="7"/>
    <n v="153.8900000000001"/>
    <n v="20.150000000000091"/>
    <n v="133.74"/>
    <n v="0"/>
  </r>
  <r>
    <d v="2025-05-31T00:00:00"/>
    <x v="6"/>
    <n v="-8861.6"/>
    <n v="138.4"/>
    <n v="0"/>
    <n v="0"/>
  </r>
  <r>
    <d v="2025-05-31T00:00:00"/>
    <x v="0"/>
    <n v="0.03"/>
    <n v="0.03"/>
    <n v="0"/>
    <n v="0"/>
  </r>
  <r>
    <d v="2025-05-31T00:00:00"/>
    <x v="1"/>
    <n v="-1894.38"/>
    <n v="0"/>
    <n v="0"/>
    <n v="0"/>
  </r>
  <r>
    <d v="2025-05-31T00:00:00"/>
    <x v="5"/>
    <n v="385.48"/>
    <n v="135.48000000000002"/>
    <n v="250"/>
    <n v="0"/>
  </r>
  <r>
    <d v="2025-05-31T00:00:00"/>
    <x v="7"/>
    <n v="216.07999999999993"/>
    <n v="18.699999999999914"/>
    <n v="198.36"/>
    <n v="0"/>
  </r>
  <r>
    <d v="2025-06-30T00:00:00"/>
    <x v="6"/>
    <n v="2135.75"/>
    <n v="135.75"/>
    <n v="0"/>
    <n v="0"/>
  </r>
  <r>
    <d v="2025-06-30T00:00:00"/>
    <x v="1"/>
    <n v="2844.29"/>
    <n v="0"/>
    <n v="0"/>
    <n v="0"/>
  </r>
  <r>
    <d v="2025-06-30T00:00:00"/>
    <x v="5"/>
    <n v="391.82"/>
    <n v="141.82"/>
    <n v="250"/>
    <n v="0"/>
  </r>
  <r>
    <d v="2025-06-30T00:00:00"/>
    <x v="7"/>
    <n v="296.22000000000003"/>
    <n v="81.720000000000027"/>
    <n v="214.5"/>
    <n v="0"/>
  </r>
  <r>
    <d v="2025-07-31T00:00:00"/>
    <x v="6"/>
    <n v="4141.0600000000004"/>
    <n v="141.06"/>
    <n v="0"/>
    <n v="0"/>
  </r>
  <r>
    <d v="2025-07-31T00:00:00"/>
    <x v="1"/>
    <n v="-3116.49"/>
    <n v="0"/>
    <n v="0"/>
    <n v="0"/>
  </r>
  <r>
    <d v="2025-07-31T00:00:00"/>
    <x v="5"/>
    <n v="287.13"/>
    <n v="37.129999999999995"/>
    <n v="250"/>
    <n v="0"/>
  </r>
  <r>
    <d v="2025-07-31T00:00:00"/>
    <x v="7"/>
    <n v="245.04"/>
    <n v="95.039999999999992"/>
    <n v="150"/>
    <n v="0"/>
  </r>
  <r>
    <d v="2025-08-31T00:00:00"/>
    <x v="6"/>
    <n v="4156.01"/>
    <n v="156.01"/>
    <n v="0"/>
    <n v="0"/>
  </r>
  <r>
    <d v="2025-08-31T00:00:00"/>
    <x v="1"/>
    <n v="-1497.9599999999998"/>
    <n v="0"/>
    <n v="0"/>
    <n v="0"/>
  </r>
  <r>
    <d v="2025-08-31T00:00:00"/>
    <x v="5"/>
    <n v="351.29"/>
    <n v="101.29000000000002"/>
    <n v="250"/>
    <n v="0"/>
  </r>
  <r>
    <d v="2025-08-31T00:00:00"/>
    <x v="7"/>
    <n v="189.2199999999998"/>
    <n v="39.2199999999998"/>
    <n v="150"/>
    <n v="0"/>
  </r>
  <r>
    <d v="2025-09-30T00:00:00"/>
    <x v="6"/>
    <n v="5965.99"/>
    <n v="165.99"/>
    <n v="0"/>
    <n v="0"/>
  </r>
  <r>
    <d v="2025-09-30T00:00:00"/>
    <x v="0"/>
    <n v="0.03"/>
    <n v="0.03"/>
    <n v="0"/>
    <n v="0"/>
  </r>
  <r>
    <d v="2025-09-30T00:00:00"/>
    <x v="1"/>
    <n v="2402.25"/>
    <n v="0"/>
    <n v="0"/>
    <n v="0"/>
  </r>
  <r>
    <d v="2025-09-30T00:00:00"/>
    <x v="5"/>
    <n v="385.64"/>
    <n v="135.63999999999999"/>
    <n v="250"/>
    <n v="0"/>
  </r>
  <r>
    <d v="2025-09-30T00:00:00"/>
    <x v="7"/>
    <n v="280.99000000000024"/>
    <n v="126.49000000000024"/>
    <n v="154.5"/>
    <n v="0"/>
  </r>
  <r>
    <d v="2025-10-31T00:00:00"/>
    <x v="6"/>
    <n v="2667.3"/>
    <n v="178.04"/>
    <n v="0"/>
    <n v="0"/>
  </r>
  <r>
    <d v="2025-10-31T00:00:00"/>
    <x v="1"/>
    <n v="545.36"/>
    <n v="0"/>
    <n v="0"/>
    <n v="0"/>
  </r>
  <r>
    <d v="2025-10-31T00:00:00"/>
    <x v="5"/>
    <n v="343.28"/>
    <n v="93.279999999999973"/>
    <n v="250"/>
    <n v="0"/>
  </r>
  <r>
    <d v="2025-10-31T00:00:00"/>
    <x v="7"/>
    <n v="213.63"/>
    <n v="63.629999999999995"/>
    <n v="150"/>
    <n v="0"/>
  </r>
  <r>
    <d v="2025-11-30T00:00:00"/>
    <x v="6"/>
    <n v="4681.8999999999996"/>
    <n v="181.9"/>
    <n v="0"/>
    <n v="0"/>
  </r>
  <r>
    <d v="2025-11-30T00:00:00"/>
    <x v="1"/>
    <n v="-2044.8600000000001"/>
    <n v="0"/>
    <n v="0"/>
    <n v="0"/>
  </r>
  <r>
    <d v="2025-11-30T00:00:00"/>
    <x v="5"/>
    <n v="270.54000000000002"/>
    <n v="20.54000000000002"/>
    <n v="250"/>
    <n v="0"/>
  </r>
  <r>
    <d v="2025-11-30T00:00:00"/>
    <x v="7"/>
    <n v="138.65000000000009"/>
    <n v="-48.349999999999909"/>
    <n v="187"/>
    <n v="0"/>
  </r>
  <r>
    <d v="2025-12-31T00:00:00"/>
    <x v="0"/>
    <n v="0.01"/>
    <n v="0.01"/>
    <n v="0"/>
    <n v="0"/>
  </r>
  <r>
    <d v="2025-12-31T00:00:00"/>
    <x v="1"/>
    <n v="719.15"/>
    <n v="0"/>
    <n v="0"/>
    <n v="0"/>
  </r>
  <r>
    <d v="2025-12-31T00:00:00"/>
    <x v="6"/>
    <n v="3226.41"/>
    <n v="196.23"/>
    <n v="0"/>
    <n v="0"/>
  </r>
  <r>
    <d v="2025-12-31T00:00:00"/>
    <x v="5"/>
    <n v="296.54000000000002"/>
    <n v="46.54000000000002"/>
    <n v="250"/>
    <n v="0"/>
  </r>
  <r>
    <d v="2025-12-31T00:00:00"/>
    <x v="7"/>
    <n v="445.52"/>
    <n v="67.519999999999982"/>
    <n v="378"/>
    <n v="0"/>
  </r>
  <r>
    <d v="2026-01-31T00:00:00"/>
    <x v="6"/>
    <n v="2207.42"/>
    <n v="203.42"/>
    <n v="0"/>
    <n v="0"/>
  </r>
  <r>
    <d v="2026-01-31T00:00:00"/>
    <x v="5"/>
    <n v="697.35"/>
    <n v="114.35"/>
    <n v="583"/>
    <n v="0"/>
  </r>
  <r>
    <d v="2026-01-31T00:00:00"/>
    <x v="7"/>
    <n v="286.60000000000002"/>
    <n v="80.599999999999994"/>
    <n v="206"/>
    <n v="0"/>
  </r>
  <r>
    <d v="2026-01-31T00:00:00"/>
    <x v="1"/>
    <n v="-671.03"/>
    <n v="0"/>
    <n v="0"/>
    <n v="0"/>
  </r>
  <r>
    <d v="2026-02-28T00:00:00"/>
    <x v="6"/>
    <n v="1687.49"/>
    <n v="187.49"/>
    <n v="0"/>
    <n v="0"/>
  </r>
  <r>
    <d v="2026-02-28T00:00:00"/>
    <x v="5"/>
    <n v="670.04"/>
    <n v="87.04"/>
    <n v="583"/>
    <n v="0"/>
  </r>
  <r>
    <d v="2026-02-28T00:00:00"/>
    <x v="7"/>
    <n v="2134.2199999999998"/>
    <n v="209"/>
    <n v="-74.7800000000002"/>
    <n v="2000"/>
  </r>
  <r>
    <d v="2026-02-28T00:00:00"/>
    <x v="1"/>
    <n v="90.42"/>
    <n v="0"/>
    <n v="0"/>
    <n v="0"/>
  </r>
  <r>
    <d v="2026-03-31T00:00:00"/>
    <x v="6"/>
    <n v="2206.2800000000002"/>
    <n v="206.28"/>
    <n v="0"/>
    <n v="0"/>
  </r>
  <r>
    <d v="2026-03-31T00:00:00"/>
    <x v="5"/>
    <n v="258.75"/>
    <n v="-324.25"/>
    <n v="583"/>
    <n v="0"/>
  </r>
  <r>
    <d v="2026-03-31T00:00:00"/>
    <x v="7"/>
    <n v="52.83"/>
    <n v="-159.16999999999999"/>
    <n v="212"/>
    <n v="0"/>
  </r>
  <r>
    <d v="2026-03-31T00:00:00"/>
    <x v="1"/>
    <n v="379.1"/>
    <n v="0"/>
    <n v="0"/>
    <n v="0"/>
  </r>
  <r>
    <d v="2026-04-30T00:00:00"/>
    <x v="0"/>
    <n v="5.01"/>
    <n v="0.1"/>
    <n v="0"/>
    <n v="0"/>
  </r>
  <r>
    <d v="2026-04-30T00:00:00"/>
    <x v="6"/>
    <n v="3706.26"/>
    <n v="206.26"/>
    <n v="0"/>
    <n v="0"/>
  </r>
  <r>
    <d v="2026-04-30T00:00:00"/>
    <x v="5"/>
    <n v="1070.6099999999999"/>
    <n v="487.61"/>
    <n v="583"/>
    <n v="0"/>
  </r>
  <r>
    <d v="2026-04-30T00:00:00"/>
    <x v="7"/>
    <n v="674.5"/>
    <n v="458.5"/>
    <n v="216"/>
    <n v="0"/>
  </r>
  <r>
    <d v="2026-04-30T00:00:00"/>
    <x v="1"/>
    <n v="1638.08"/>
    <n v="0"/>
    <n v="0"/>
    <n v="0"/>
  </r>
  <r>
    <m/>
    <x v="8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9432E-410E-A646-ADEA-FFAA63467144}" name="PivotTable1" cacheId="11" dataOnRows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:C7" firstHeaderRow="1" firstDataRow="1" firstDataCol="2"/>
  <pivotFields count="6"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9">
        <item h="1" x="0"/>
        <item h="1" x="1"/>
        <item h="1" x="2"/>
        <item h="1" x="3"/>
        <item h="1" x="4"/>
        <item x="5"/>
        <item h="1" x="6"/>
        <item x="7"/>
        <item h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-2"/>
  </rowFields>
  <rowItems count="6">
    <i>
      <x v="5"/>
      <x/>
    </i>
    <i r="1" i="1">
      <x v="1"/>
    </i>
    <i r="1" i="2">
      <x v="2"/>
    </i>
    <i>
      <x v="7"/>
      <x/>
    </i>
    <i r="1" i="1">
      <x v="1"/>
    </i>
    <i r="1" i="2">
      <x v="2"/>
    </i>
  </rowItems>
  <colItems count="1">
    <i/>
  </colItems>
  <dataFields count="3">
    <dataField name="Interest Earned" fld="3" baseField="0" baseItem="0"/>
    <dataField name="Employee Contribution" fld="4" baseField="0" baseItem="0"/>
    <dataField name="Employer Matche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2E789-A8AB-6D41-9D84-22FB660A2305}">
  <sheetPr>
    <tabColor theme="9"/>
  </sheetPr>
  <dimension ref="A1:F392"/>
  <sheetViews>
    <sheetView zoomScale="80" zoomScaleNormal="80" workbookViewId="0">
      <pane ySplit="1" topLeftCell="A369" activePane="bottomLeft" state="frozen"/>
      <selection activeCell="F205" sqref="F205"/>
      <selection pane="bottomLeft" activeCell="E245" sqref="E245"/>
    </sheetView>
  </sheetViews>
  <sheetFormatPr baseColWidth="10" defaultColWidth="11" defaultRowHeight="16" x14ac:dyDescent="0.2"/>
  <cols>
    <col min="1" max="1" width="11" style="6"/>
    <col min="2" max="2" width="34.33203125" style="6" bestFit="1" customWidth="1"/>
    <col min="3" max="3" width="15.5" style="11" bestFit="1" customWidth="1"/>
    <col min="4" max="4" width="12.5" style="11" bestFit="1" customWidth="1"/>
    <col min="5" max="5" width="17.33203125" style="11" bestFit="1" customWidth="1"/>
    <col min="6" max="6" width="20" style="11" bestFit="1" customWidth="1"/>
  </cols>
  <sheetData>
    <row r="1" spans="1:6" x14ac:dyDescent="0.2">
      <c r="A1" s="6" t="s">
        <v>0</v>
      </c>
      <c r="B1" s="6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x14ac:dyDescent="0.2">
      <c r="A2" s="7">
        <v>43831</v>
      </c>
      <c r="B2" s="7" t="s">
        <v>69</v>
      </c>
      <c r="C2" s="11">
        <v>252.85107780698888</v>
      </c>
      <c r="D2" s="11">
        <v>2.2871436696576359</v>
      </c>
    </row>
    <row r="3" spans="1:6" x14ac:dyDescent="0.2">
      <c r="A3" s="7">
        <v>43862</v>
      </c>
      <c r="B3" s="7" t="s">
        <v>69</v>
      </c>
      <c r="C3" s="11">
        <v>314.45395220961558</v>
      </c>
      <c r="D3" s="11">
        <v>49.463174754525859</v>
      </c>
    </row>
    <row r="4" spans="1:6" x14ac:dyDescent="0.2">
      <c r="A4" s="7">
        <v>43891</v>
      </c>
      <c r="B4" s="7" t="s">
        <v>69</v>
      </c>
      <c r="C4" s="11">
        <v>7.2969889407917554</v>
      </c>
      <c r="D4" s="11">
        <v>1.1260854474381021</v>
      </c>
    </row>
    <row r="5" spans="1:6" x14ac:dyDescent="0.2">
      <c r="A5" s="7">
        <v>43922</v>
      </c>
      <c r="B5" s="7" t="s">
        <v>69</v>
      </c>
      <c r="C5" s="11">
        <v>0</v>
      </c>
      <c r="D5" s="11">
        <v>0</v>
      </c>
    </row>
    <row r="6" spans="1:6" x14ac:dyDescent="0.2">
      <c r="A6" s="7">
        <v>43952</v>
      </c>
      <c r="B6" s="7" t="s">
        <v>69</v>
      </c>
      <c r="C6" s="11">
        <v>6.3601192940726223</v>
      </c>
      <c r="D6" s="11">
        <v>1.9014548842033831E-2</v>
      </c>
    </row>
    <row r="7" spans="1:6" x14ac:dyDescent="0.2">
      <c r="A7" s="7">
        <v>43983</v>
      </c>
      <c r="B7" s="7" t="s">
        <v>69</v>
      </c>
      <c r="C7" s="11">
        <v>34.933700048332852</v>
      </c>
      <c r="D7" s="11">
        <v>20.96930516808283</v>
      </c>
    </row>
    <row r="8" spans="1:6" x14ac:dyDescent="0.2">
      <c r="A8" s="7">
        <v>44013</v>
      </c>
      <c r="B8" s="7" t="s">
        <v>69</v>
      </c>
      <c r="C8" s="11">
        <v>1320.3317417219296</v>
      </c>
      <c r="D8" s="11">
        <v>963.70308854587745</v>
      </c>
    </row>
    <row r="9" spans="1:6" x14ac:dyDescent="0.2">
      <c r="A9" s="7">
        <v>44044</v>
      </c>
      <c r="B9" s="7" t="s">
        <v>69</v>
      </c>
      <c r="C9" s="11">
        <v>0</v>
      </c>
      <c r="D9" s="11">
        <v>0</v>
      </c>
    </row>
    <row r="10" spans="1:6" x14ac:dyDescent="0.2">
      <c r="A10" s="7">
        <v>44075</v>
      </c>
      <c r="B10" s="7" t="s">
        <v>69</v>
      </c>
      <c r="C10" s="11">
        <v>67.896091461083145</v>
      </c>
      <c r="D10" s="11">
        <v>2.1496032305322403</v>
      </c>
    </row>
    <row r="11" spans="1:6" x14ac:dyDescent="0.2">
      <c r="A11" s="7">
        <v>44105</v>
      </c>
      <c r="B11" s="7" t="s">
        <v>69</v>
      </c>
      <c r="C11" s="11">
        <v>0</v>
      </c>
      <c r="D11" s="11">
        <v>0</v>
      </c>
    </row>
    <row r="12" spans="1:6" x14ac:dyDescent="0.2">
      <c r="A12" s="7">
        <v>44136</v>
      </c>
      <c r="B12" s="7" t="s">
        <v>69</v>
      </c>
      <c r="C12" s="11">
        <v>660.09285190976846</v>
      </c>
      <c r="D12" s="11">
        <v>40.208460650609283</v>
      </c>
    </row>
    <row r="13" spans="1:6" x14ac:dyDescent="0.2">
      <c r="A13" s="7">
        <v>44166</v>
      </c>
      <c r="B13" s="7" t="s">
        <v>69</v>
      </c>
      <c r="C13" s="11">
        <v>599.39698329534428</v>
      </c>
      <c r="D13" s="11">
        <v>124.76534075879037</v>
      </c>
    </row>
    <row r="14" spans="1:6" x14ac:dyDescent="0.2">
      <c r="A14" s="7">
        <v>43831</v>
      </c>
      <c r="B14" s="7" t="s">
        <v>70</v>
      </c>
      <c r="C14" s="11">
        <v>1474.5219876208807</v>
      </c>
    </row>
    <row r="15" spans="1:6" x14ac:dyDescent="0.2">
      <c r="A15" s="7">
        <v>43862</v>
      </c>
      <c r="B15" s="7" t="s">
        <v>70</v>
      </c>
      <c r="C15" s="11">
        <v>-10.856220506763187</v>
      </c>
    </row>
    <row r="16" spans="1:6" x14ac:dyDescent="0.2">
      <c r="A16" s="7">
        <v>43891</v>
      </c>
      <c r="B16" s="7" t="s">
        <v>70</v>
      </c>
      <c r="C16" s="11">
        <v>651.65207267962353</v>
      </c>
    </row>
    <row r="17" spans="1:4" x14ac:dyDescent="0.2">
      <c r="A17" s="7">
        <v>43922</v>
      </c>
      <c r="B17" s="7" t="s">
        <v>70</v>
      </c>
      <c r="C17" s="11">
        <v>213.75953907402607</v>
      </c>
    </row>
    <row r="18" spans="1:4" x14ac:dyDescent="0.2">
      <c r="A18" s="7">
        <v>43952</v>
      </c>
      <c r="B18" s="7" t="s">
        <v>70</v>
      </c>
      <c r="C18" s="11">
        <v>20.803611645194991</v>
      </c>
    </row>
    <row r="19" spans="1:4" x14ac:dyDescent="0.2">
      <c r="A19" s="7">
        <v>43983</v>
      </c>
      <c r="B19" s="7" t="s">
        <v>70</v>
      </c>
      <c r="C19" s="11">
        <v>22.460124455869916</v>
      </c>
    </row>
    <row r="20" spans="1:4" x14ac:dyDescent="0.2">
      <c r="A20" s="7">
        <v>44013</v>
      </c>
      <c r="B20" s="7" t="s">
        <v>70</v>
      </c>
      <c r="C20" s="11">
        <v>65.305182954901653</v>
      </c>
    </row>
    <row r="21" spans="1:4" x14ac:dyDescent="0.2">
      <c r="A21" s="7">
        <v>44044</v>
      </c>
      <c r="B21" s="7" t="s">
        <v>70</v>
      </c>
      <c r="C21" s="11">
        <v>-143.32754374141595</v>
      </c>
    </row>
    <row r="22" spans="1:4" x14ac:dyDescent="0.2">
      <c r="A22" s="7">
        <v>44075</v>
      </c>
      <c r="B22" s="7" t="s">
        <v>70</v>
      </c>
      <c r="C22" s="11">
        <v>39.930545935851221</v>
      </c>
    </row>
    <row r="23" spans="1:4" x14ac:dyDescent="0.2">
      <c r="A23" s="7">
        <v>44105</v>
      </c>
      <c r="B23" s="7" t="s">
        <v>70</v>
      </c>
      <c r="C23" s="11">
        <v>2.6062886805760181E-2</v>
      </c>
    </row>
    <row r="24" spans="1:4" x14ac:dyDescent="0.2">
      <c r="A24" s="7">
        <v>44136</v>
      </c>
      <c r="B24" s="7" t="s">
        <v>70</v>
      </c>
      <c r="C24" s="11">
        <v>-55.314431571472731</v>
      </c>
    </row>
    <row r="25" spans="1:4" x14ac:dyDescent="0.2">
      <c r="A25" s="7">
        <v>44166</v>
      </c>
      <c r="B25" s="7" t="s">
        <v>70</v>
      </c>
      <c r="C25" s="11">
        <v>85.801743718805724</v>
      </c>
    </row>
    <row r="26" spans="1:4" x14ac:dyDescent="0.2">
      <c r="A26" s="7">
        <v>43831</v>
      </c>
      <c r="B26" s="7" t="s">
        <v>64</v>
      </c>
      <c r="C26" s="11">
        <v>-24.963880714627134</v>
      </c>
      <c r="D26" s="11">
        <v>1.7097975473446074</v>
      </c>
    </row>
    <row r="27" spans="1:4" x14ac:dyDescent="0.2">
      <c r="A27" s="7">
        <v>43862</v>
      </c>
      <c r="B27" s="7" t="s">
        <v>64</v>
      </c>
      <c r="C27" s="11">
        <v>-76.874485094083838</v>
      </c>
      <c r="D27" s="11">
        <v>25.279570746065342</v>
      </c>
    </row>
    <row r="28" spans="1:4" x14ac:dyDescent="0.2">
      <c r="A28" s="7">
        <v>43891</v>
      </c>
      <c r="B28" s="7" t="s">
        <v>64</v>
      </c>
      <c r="C28" s="11">
        <v>303.49959003509537</v>
      </c>
      <c r="D28" s="11">
        <v>32.636260794307539</v>
      </c>
    </row>
    <row r="29" spans="1:4" x14ac:dyDescent="0.2">
      <c r="A29" s="7">
        <v>43922</v>
      </c>
      <c r="B29" s="7" t="s">
        <v>64</v>
      </c>
      <c r="C29" s="11">
        <v>-40.67458372532051</v>
      </c>
      <c r="D29" s="11">
        <v>51.01393827078477</v>
      </c>
    </row>
    <row r="30" spans="1:4" x14ac:dyDescent="0.2">
      <c r="A30" s="7">
        <v>43952</v>
      </c>
      <c r="B30" s="7" t="s">
        <v>64</v>
      </c>
      <c r="C30" s="11">
        <v>23.956937872404115</v>
      </c>
      <c r="D30" s="11">
        <v>3.6240597291995238</v>
      </c>
    </row>
    <row r="31" spans="1:4" x14ac:dyDescent="0.2">
      <c r="A31" s="7">
        <v>43983</v>
      </c>
      <c r="B31" s="7" t="s">
        <v>64</v>
      </c>
      <c r="C31" s="11">
        <v>97.586878378870452</v>
      </c>
      <c r="D31" s="11">
        <v>15.024522312693447</v>
      </c>
    </row>
    <row r="32" spans="1:4" x14ac:dyDescent="0.2">
      <c r="A32" s="7">
        <v>44013</v>
      </c>
      <c r="B32" s="7" t="s">
        <v>64</v>
      </c>
      <c r="C32" s="11">
        <v>-5.7958658013947986</v>
      </c>
      <c r="D32" s="11">
        <v>5.6965834148204859</v>
      </c>
    </row>
    <row r="33" spans="1:4" x14ac:dyDescent="0.2">
      <c r="A33" s="7">
        <v>44044</v>
      </c>
      <c r="B33" s="7" t="s">
        <v>64</v>
      </c>
      <c r="C33" s="11">
        <v>184.06839942104935</v>
      </c>
      <c r="D33" s="11">
        <v>1.5302138468612192</v>
      </c>
    </row>
    <row r="34" spans="1:4" x14ac:dyDescent="0.2">
      <c r="A34" s="7">
        <v>44075</v>
      </c>
      <c r="B34" s="7" t="s">
        <v>64</v>
      </c>
      <c r="C34" s="11">
        <v>-77.923646024250175</v>
      </c>
      <c r="D34" s="11">
        <v>0.16317316122474887</v>
      </c>
    </row>
    <row r="35" spans="1:4" x14ac:dyDescent="0.2">
      <c r="A35" s="7">
        <v>44105</v>
      </c>
      <c r="B35" s="7" t="s">
        <v>64</v>
      </c>
      <c r="C35" s="11">
        <v>48.512604525887276</v>
      </c>
      <c r="D35" s="11">
        <v>1.1955937868420096E-2</v>
      </c>
    </row>
    <row r="36" spans="1:4" x14ac:dyDescent="0.2">
      <c r="A36" s="7">
        <v>44136</v>
      </c>
      <c r="B36" s="7" t="s">
        <v>64</v>
      </c>
      <c r="C36" s="11">
        <v>344.36666010888933</v>
      </c>
      <c r="D36" s="11">
        <v>4.7394978062874564</v>
      </c>
    </row>
    <row r="37" spans="1:4" x14ac:dyDescent="0.2">
      <c r="A37" s="7">
        <v>44166</v>
      </c>
      <c r="B37" s="7" t="s">
        <v>64</v>
      </c>
      <c r="C37" s="11">
        <v>-271.7383743013707</v>
      </c>
      <c r="D37" s="11">
        <v>7.9376031645097189</v>
      </c>
    </row>
    <row r="38" spans="1:4" x14ac:dyDescent="0.2">
      <c r="A38" s="7">
        <v>44197</v>
      </c>
      <c r="B38" s="7" t="s">
        <v>64</v>
      </c>
      <c r="C38" s="11">
        <v>67.129688068475588</v>
      </c>
      <c r="D38" s="11">
        <v>1.7068778421505377</v>
      </c>
    </row>
    <row r="39" spans="1:4" x14ac:dyDescent="0.2">
      <c r="A39" s="7">
        <v>44228</v>
      </c>
      <c r="B39" s="7" t="s">
        <v>64</v>
      </c>
      <c r="C39" s="11">
        <v>-222.68983319839643</v>
      </c>
      <c r="D39" s="11">
        <v>0.95360664362951553</v>
      </c>
    </row>
    <row r="40" spans="1:4" x14ac:dyDescent="0.2">
      <c r="A40" s="7">
        <v>44256</v>
      </c>
      <c r="B40" s="7" t="s">
        <v>64</v>
      </c>
      <c r="C40" s="11">
        <v>31.621820218507466</v>
      </c>
      <c r="D40" s="11">
        <v>-11.6434905476192</v>
      </c>
    </row>
    <row r="41" spans="1:4" x14ac:dyDescent="0.2">
      <c r="A41" s="7">
        <v>44287</v>
      </c>
      <c r="B41" s="7" t="s">
        <v>64</v>
      </c>
      <c r="C41" s="11">
        <v>113.20598840971769</v>
      </c>
      <c r="D41" s="11">
        <v>74.298259907775886</v>
      </c>
    </row>
    <row r="42" spans="1:4" x14ac:dyDescent="0.2">
      <c r="A42" s="7">
        <v>44317</v>
      </c>
      <c r="B42" s="7" t="s">
        <v>64</v>
      </c>
      <c r="C42" s="11">
        <v>-64.500936279739904</v>
      </c>
      <c r="D42" s="11">
        <v>4.0672343555774999</v>
      </c>
    </row>
    <row r="43" spans="1:4" x14ac:dyDescent="0.2">
      <c r="A43" s="7">
        <v>44348</v>
      </c>
      <c r="B43" s="7" t="s">
        <v>64</v>
      </c>
      <c r="C43" s="11">
        <v>20.55165485093276</v>
      </c>
      <c r="D43" s="11">
        <v>54.807680746568302</v>
      </c>
    </row>
    <row r="44" spans="1:4" x14ac:dyDescent="0.2">
      <c r="A44" s="7">
        <v>44378</v>
      </c>
      <c r="B44" s="7" t="s">
        <v>64</v>
      </c>
      <c r="C44" s="11">
        <v>-64.171482906838989</v>
      </c>
      <c r="D44" s="11">
        <v>7.7180899598805319E-3</v>
      </c>
    </row>
    <row r="45" spans="1:4" x14ac:dyDescent="0.2">
      <c r="A45" s="7">
        <v>44409</v>
      </c>
      <c r="B45" s="7" t="s">
        <v>64</v>
      </c>
      <c r="C45" s="11">
        <v>89.079582521852814</v>
      </c>
      <c r="D45" s="11">
        <v>9.3352005716012751</v>
      </c>
    </row>
    <row r="46" spans="1:4" x14ac:dyDescent="0.2">
      <c r="A46" s="7">
        <v>44440</v>
      </c>
      <c r="B46" s="7" t="s">
        <v>64</v>
      </c>
      <c r="C46" s="11">
        <v>18.266363295785204</v>
      </c>
      <c r="D46" s="11">
        <v>21.751841652597228</v>
      </c>
    </row>
    <row r="47" spans="1:4" x14ac:dyDescent="0.2">
      <c r="A47" s="7">
        <v>44470</v>
      </c>
      <c r="B47" s="7" t="s">
        <v>64</v>
      </c>
      <c r="C47" s="11">
        <v>-5.8102111120249855</v>
      </c>
      <c r="D47" s="11">
        <v>6.0851055137958259</v>
      </c>
    </row>
    <row r="48" spans="1:4" x14ac:dyDescent="0.2">
      <c r="A48" s="7">
        <v>44501</v>
      </c>
      <c r="B48" s="7" t="s">
        <v>64</v>
      </c>
      <c r="C48" s="11">
        <v>-150.00198594424947</v>
      </c>
      <c r="D48" s="11">
        <v>29.280576278256618</v>
      </c>
    </row>
    <row r="49" spans="1:4" x14ac:dyDescent="0.2">
      <c r="A49" s="7">
        <v>44531</v>
      </c>
      <c r="B49" s="7" t="s">
        <v>64</v>
      </c>
      <c r="C49" s="11">
        <v>-155.0944003228856</v>
      </c>
      <c r="D49" s="11">
        <v>0.39386715266737277</v>
      </c>
    </row>
    <row r="50" spans="1:4" x14ac:dyDescent="0.2">
      <c r="A50" s="7">
        <v>44562</v>
      </c>
      <c r="B50" s="7" t="s">
        <v>64</v>
      </c>
      <c r="C50" s="11">
        <v>-121.60326394678327</v>
      </c>
      <c r="D50" s="11">
        <v>15.792738451785786</v>
      </c>
    </row>
    <row r="51" spans="1:4" x14ac:dyDescent="0.2">
      <c r="A51" s="7">
        <v>44593</v>
      </c>
      <c r="B51" s="7" t="s">
        <v>64</v>
      </c>
      <c r="C51" s="11">
        <v>383.06474156424986</v>
      </c>
      <c r="D51" s="11">
        <v>1.7716503289307111E-2</v>
      </c>
    </row>
    <row r="52" spans="1:4" x14ac:dyDescent="0.2">
      <c r="A52" s="7">
        <v>44621</v>
      </c>
      <c r="B52" s="7" t="s">
        <v>64</v>
      </c>
      <c r="C52" s="11">
        <v>863.11063595670089</v>
      </c>
      <c r="D52" s="11">
        <v>13.714041695932581</v>
      </c>
    </row>
    <row r="53" spans="1:4" x14ac:dyDescent="0.2">
      <c r="A53" s="7">
        <v>44652</v>
      </c>
      <c r="B53" s="7" t="s">
        <v>64</v>
      </c>
      <c r="C53" s="11">
        <v>89.104264302446296</v>
      </c>
      <c r="D53" s="11">
        <v>65.066797212813057</v>
      </c>
    </row>
    <row r="54" spans="1:4" x14ac:dyDescent="0.2">
      <c r="A54" s="7">
        <v>44682</v>
      </c>
      <c r="B54" s="7" t="s">
        <v>64</v>
      </c>
      <c r="C54" s="11">
        <v>-23.263496829570023</v>
      </c>
      <c r="D54" s="11">
        <v>-4.8762984691918101</v>
      </c>
    </row>
    <row r="55" spans="1:4" x14ac:dyDescent="0.2">
      <c r="A55" s="7">
        <v>44713</v>
      </c>
      <c r="B55" s="7" t="s">
        <v>64</v>
      </c>
      <c r="C55" s="11">
        <v>1.8882648513876292</v>
      </c>
      <c r="D55" s="11">
        <v>24.093975787818923</v>
      </c>
    </row>
    <row r="56" spans="1:4" x14ac:dyDescent="0.2">
      <c r="A56" s="7">
        <v>44743</v>
      </c>
      <c r="B56" s="7" t="s">
        <v>64</v>
      </c>
      <c r="C56" s="11">
        <v>-21.633746596904839</v>
      </c>
      <c r="D56" s="11">
        <v>82.612514003446378</v>
      </c>
    </row>
    <row r="57" spans="1:4" x14ac:dyDescent="0.2">
      <c r="A57" s="7">
        <v>44774</v>
      </c>
      <c r="B57" s="7" t="s">
        <v>64</v>
      </c>
      <c r="C57" s="11">
        <v>53.855770291095567</v>
      </c>
      <c r="D57" s="11">
        <v>38.683619263493561</v>
      </c>
    </row>
    <row r="58" spans="1:4" x14ac:dyDescent="0.2">
      <c r="A58" s="7">
        <v>44805</v>
      </c>
      <c r="B58" s="7" t="s">
        <v>64</v>
      </c>
      <c r="C58" s="11">
        <v>-147.93198011086892</v>
      </c>
      <c r="D58" s="11">
        <v>1.6013610592447642</v>
      </c>
    </row>
    <row r="59" spans="1:4" x14ac:dyDescent="0.2">
      <c r="A59" s="7">
        <v>44835</v>
      </c>
      <c r="B59" s="7" t="s">
        <v>64</v>
      </c>
      <c r="C59" s="11">
        <v>8.1044388497891866</v>
      </c>
      <c r="D59" s="11">
        <v>26.619157528371307</v>
      </c>
    </row>
    <row r="60" spans="1:4" x14ac:dyDescent="0.2">
      <c r="A60" s="7">
        <v>44866</v>
      </c>
      <c r="B60" s="7" t="s">
        <v>64</v>
      </c>
      <c r="C60" s="11">
        <v>-11.147452075383171</v>
      </c>
      <c r="D60" s="11">
        <v>1.4244620207460281E-2</v>
      </c>
    </row>
    <row r="61" spans="1:4" x14ac:dyDescent="0.2">
      <c r="A61" s="7">
        <v>44896</v>
      </c>
      <c r="B61" s="7" t="s">
        <v>64</v>
      </c>
      <c r="C61" s="11">
        <v>0.20200450894362057</v>
      </c>
      <c r="D61" s="11">
        <v>-17.907185936081241</v>
      </c>
    </row>
    <row r="62" spans="1:4" x14ac:dyDescent="0.2">
      <c r="A62" s="7">
        <v>44927</v>
      </c>
      <c r="B62" s="7" t="s">
        <v>64</v>
      </c>
      <c r="C62" s="11">
        <v>6304.5392675101666</v>
      </c>
      <c r="D62" s="11">
        <v>-7.3706904134717721</v>
      </c>
    </row>
    <row r="63" spans="1:4" x14ac:dyDescent="0.2">
      <c r="A63" s="7">
        <v>44958</v>
      </c>
      <c r="B63" s="7" t="s">
        <v>64</v>
      </c>
      <c r="C63" s="11">
        <v>3.0776176896525689</v>
      </c>
      <c r="D63" s="11">
        <v>126.2215307557726</v>
      </c>
    </row>
    <row r="64" spans="1:4" x14ac:dyDescent="0.2">
      <c r="A64" s="7">
        <v>44986</v>
      </c>
      <c r="B64" s="7" t="s">
        <v>64</v>
      </c>
      <c r="C64" s="11">
        <v>-1534.6241269165439</v>
      </c>
      <c r="D64" s="11">
        <v>17.425445883021982</v>
      </c>
    </row>
    <row r="65" spans="1:4" x14ac:dyDescent="0.2">
      <c r="A65" s="7">
        <v>45017</v>
      </c>
      <c r="B65" s="7" t="s">
        <v>64</v>
      </c>
      <c r="C65" s="11">
        <v>207.42778993084403</v>
      </c>
      <c r="D65" s="11">
        <v>8.8847902076076455</v>
      </c>
    </row>
    <row r="66" spans="1:4" x14ac:dyDescent="0.2">
      <c r="A66" s="7">
        <v>45047</v>
      </c>
      <c r="B66" s="7" t="s">
        <v>64</v>
      </c>
      <c r="C66" s="11">
        <v>4.3354891275686347</v>
      </c>
      <c r="D66" s="11">
        <v>133.79518291866233</v>
      </c>
    </row>
    <row r="67" spans="1:4" x14ac:dyDescent="0.2">
      <c r="A67" s="7">
        <v>45078</v>
      </c>
      <c r="B67" s="7" t="s">
        <v>64</v>
      </c>
      <c r="C67" s="11">
        <v>0</v>
      </c>
      <c r="D67" s="11">
        <v>-1.6303353641845422</v>
      </c>
    </row>
    <row r="68" spans="1:4" x14ac:dyDescent="0.2">
      <c r="A68" s="7">
        <v>45108</v>
      </c>
      <c r="B68" s="7" t="s">
        <v>64</v>
      </c>
      <c r="C68" s="11">
        <v>-1777.5384356320278</v>
      </c>
      <c r="D68" s="11">
        <v>-11.793835510420241</v>
      </c>
    </row>
    <row r="69" spans="1:4" x14ac:dyDescent="0.2">
      <c r="A69" s="7">
        <v>45139</v>
      </c>
      <c r="B69" s="7" t="s">
        <v>64</v>
      </c>
      <c r="C69" s="11">
        <v>4.5538977900246369</v>
      </c>
      <c r="D69" s="11">
        <v>99.539209328612344</v>
      </c>
    </row>
    <row r="70" spans="1:4" x14ac:dyDescent="0.2">
      <c r="A70" s="7">
        <v>45170</v>
      </c>
      <c r="B70" s="7" t="s">
        <v>64</v>
      </c>
      <c r="C70" s="11">
        <v>459.50678987859402</v>
      </c>
      <c r="D70" s="11">
        <v>1.8474254160149584E-2</v>
      </c>
    </row>
    <row r="71" spans="1:4" x14ac:dyDescent="0.2">
      <c r="A71" s="7">
        <v>45200</v>
      </c>
      <c r="B71" s="7" t="s">
        <v>64</v>
      </c>
      <c r="C71" s="11">
        <v>1.6772160826942724</v>
      </c>
      <c r="D71" s="11">
        <v>-2.5052081913768207</v>
      </c>
    </row>
    <row r="72" spans="1:4" x14ac:dyDescent="0.2">
      <c r="A72" s="7">
        <v>45231</v>
      </c>
      <c r="B72" s="7" t="s">
        <v>64</v>
      </c>
      <c r="C72" s="11">
        <v>2844.0474131298606</v>
      </c>
      <c r="D72" s="11">
        <v>-12.185413126707752</v>
      </c>
    </row>
    <row r="73" spans="1:4" x14ac:dyDescent="0.2">
      <c r="A73" s="7">
        <v>45261</v>
      </c>
      <c r="B73" s="7" t="s">
        <v>64</v>
      </c>
      <c r="C73" s="11">
        <v>-1497.4500413596795</v>
      </c>
      <c r="D73" s="11">
        <v>140.65313585483332</v>
      </c>
    </row>
    <row r="74" spans="1:4" x14ac:dyDescent="0.2">
      <c r="A74" s="7">
        <v>45292</v>
      </c>
      <c r="B74" s="7" t="s">
        <v>64</v>
      </c>
      <c r="C74" s="11">
        <v>42.003823679991577</v>
      </c>
      <c r="D74" s="11">
        <v>3.8201320849246954</v>
      </c>
    </row>
    <row r="75" spans="1:4" x14ac:dyDescent="0.2">
      <c r="A75" s="7">
        <v>45323</v>
      </c>
      <c r="B75" s="7" t="s">
        <v>64</v>
      </c>
      <c r="C75" s="11">
        <v>30.796233838251474</v>
      </c>
      <c r="D75" s="11">
        <v>15.89595896668162</v>
      </c>
    </row>
    <row r="76" spans="1:4" x14ac:dyDescent="0.2">
      <c r="A76" s="7">
        <v>45352</v>
      </c>
      <c r="B76" s="7" t="s">
        <v>64</v>
      </c>
      <c r="C76" s="11">
        <v>94.476107837645372</v>
      </c>
      <c r="D76" s="11">
        <v>88.441944646686864</v>
      </c>
    </row>
    <row r="77" spans="1:4" x14ac:dyDescent="0.2">
      <c r="A77" s="7">
        <v>45383</v>
      </c>
      <c r="B77" s="7" t="s">
        <v>64</v>
      </c>
      <c r="C77" s="11">
        <v>6.1787537603280702</v>
      </c>
      <c r="D77" s="11">
        <v>5.4941157015844511E-3</v>
      </c>
    </row>
    <row r="78" spans="1:4" x14ac:dyDescent="0.2">
      <c r="A78" s="7">
        <v>45413</v>
      </c>
      <c r="B78" s="7" t="s">
        <v>64</v>
      </c>
      <c r="C78" s="11">
        <v>0</v>
      </c>
      <c r="D78" s="11">
        <v>48.77081428854364</v>
      </c>
    </row>
    <row r="79" spans="1:4" x14ac:dyDescent="0.2">
      <c r="A79" s="7">
        <v>45444</v>
      </c>
      <c r="B79" s="7" t="s">
        <v>64</v>
      </c>
      <c r="C79" s="11">
        <v>4.1683499096496768E-2</v>
      </c>
      <c r="D79" s="11">
        <v>0.21809248141809143</v>
      </c>
    </row>
    <row r="80" spans="1:4" x14ac:dyDescent="0.2">
      <c r="A80" s="7">
        <v>45474</v>
      </c>
      <c r="B80" s="7" t="s">
        <v>64</v>
      </c>
      <c r="C80" s="11">
        <v>273.22713978108931</v>
      </c>
      <c r="D80" s="11">
        <v>88.627690675723954</v>
      </c>
    </row>
    <row r="81" spans="1:4" x14ac:dyDescent="0.2">
      <c r="A81" s="7">
        <v>45505</v>
      </c>
      <c r="B81" s="7" t="s">
        <v>64</v>
      </c>
      <c r="C81" s="11">
        <v>53.392506797617315</v>
      </c>
      <c r="D81" s="11">
        <v>55.568240204099347</v>
      </c>
    </row>
    <row r="82" spans="1:4" x14ac:dyDescent="0.2">
      <c r="A82" s="7">
        <v>45536</v>
      </c>
      <c r="B82" s="7" t="s">
        <v>64</v>
      </c>
      <c r="C82" s="11">
        <v>83.021063488838308</v>
      </c>
      <c r="D82" s="11">
        <v>47.002135398274461</v>
      </c>
    </row>
    <row r="83" spans="1:4" x14ac:dyDescent="0.2">
      <c r="A83" s="7">
        <v>45566</v>
      </c>
      <c r="B83" s="7" t="s">
        <v>64</v>
      </c>
      <c r="C83" s="11">
        <v>53.777443054603275</v>
      </c>
      <c r="D83" s="11">
        <v>6.318199914028523</v>
      </c>
    </row>
    <row r="84" spans="1:4" x14ac:dyDescent="0.2">
      <c r="A84" s="7">
        <v>45597</v>
      </c>
      <c r="B84" s="7" t="s">
        <v>64</v>
      </c>
      <c r="C84" s="11">
        <v>0</v>
      </c>
      <c r="D84" s="11">
        <v>16.159074370317065</v>
      </c>
    </row>
    <row r="85" spans="1:4" x14ac:dyDescent="0.2">
      <c r="A85" s="7">
        <v>45627</v>
      </c>
      <c r="B85" s="7" t="s">
        <v>64</v>
      </c>
      <c r="C85" s="11">
        <v>1438.7512152848144</v>
      </c>
      <c r="D85" s="11">
        <v>5.1635251654272771</v>
      </c>
    </row>
    <row r="86" spans="1:4" x14ac:dyDescent="0.2">
      <c r="A86" s="7">
        <v>45658</v>
      </c>
      <c r="B86" s="7" t="s">
        <v>64</v>
      </c>
      <c r="C86" s="11">
        <v>2.5220138423809226</v>
      </c>
      <c r="D86" s="11">
        <v>89.025680545603578</v>
      </c>
    </row>
    <row r="87" spans="1:4" x14ac:dyDescent="0.2">
      <c r="A87" s="7">
        <v>45689</v>
      </c>
      <c r="B87" s="7" t="s">
        <v>64</v>
      </c>
      <c r="C87" s="11">
        <v>10.831651112691668</v>
      </c>
      <c r="D87" s="11">
        <v>91.622858528444425</v>
      </c>
    </row>
    <row r="88" spans="1:4" x14ac:dyDescent="0.2">
      <c r="A88" s="7">
        <v>45717</v>
      </c>
      <c r="B88" s="7" t="s">
        <v>64</v>
      </c>
      <c r="C88" s="11">
        <v>19.029833647134854</v>
      </c>
      <c r="D88" s="11">
        <v>36.461316777869811</v>
      </c>
    </row>
    <row r="89" spans="1:4" x14ac:dyDescent="0.2">
      <c r="A89" s="7">
        <v>45748</v>
      </c>
      <c r="B89" s="7" t="s">
        <v>64</v>
      </c>
      <c r="C89" s="11">
        <v>-2.7860392039500117</v>
      </c>
      <c r="D89" s="11">
        <v>145.78040227780275</v>
      </c>
    </row>
    <row r="90" spans="1:4" x14ac:dyDescent="0.2">
      <c r="A90" s="7">
        <v>45778</v>
      </c>
      <c r="B90" s="7" t="s">
        <v>64</v>
      </c>
      <c r="C90" s="11">
        <v>-736.01575418012305</v>
      </c>
      <c r="D90" s="11">
        <v>1.121830758874981E-2</v>
      </c>
    </row>
    <row r="91" spans="1:4" x14ac:dyDescent="0.2">
      <c r="A91" s="7">
        <v>45809</v>
      </c>
      <c r="B91" s="7" t="s">
        <v>64</v>
      </c>
      <c r="C91" s="11">
        <v>-278.87470036853409</v>
      </c>
      <c r="D91" s="11">
        <v>1.9035049543664018</v>
      </c>
    </row>
    <row r="92" spans="1:4" x14ac:dyDescent="0.2">
      <c r="A92" s="7">
        <v>45839</v>
      </c>
      <c r="B92" s="7" t="s">
        <v>64</v>
      </c>
      <c r="C92" s="11">
        <v>23.983797572757652</v>
      </c>
      <c r="D92" s="11">
        <v>23.361297921749784</v>
      </c>
    </row>
    <row r="93" spans="1:4" x14ac:dyDescent="0.2">
      <c r="A93" s="7">
        <v>45870</v>
      </c>
      <c r="B93" s="7" t="s">
        <v>64</v>
      </c>
      <c r="C93" s="11">
        <v>43.596494101776926</v>
      </c>
      <c r="D93" s="11">
        <v>7.4660593337224022</v>
      </c>
    </row>
    <row r="94" spans="1:4" x14ac:dyDescent="0.2">
      <c r="A94" s="7">
        <v>45901</v>
      </c>
      <c r="B94" s="7" t="s">
        <v>64</v>
      </c>
      <c r="C94" s="11">
        <v>84.542689329096021</v>
      </c>
      <c r="D94" s="11">
        <v>84.906648848585405</v>
      </c>
    </row>
    <row r="95" spans="1:4" x14ac:dyDescent="0.2">
      <c r="A95" s="7">
        <v>45931</v>
      </c>
      <c r="B95" s="7" t="s">
        <v>64</v>
      </c>
      <c r="C95" s="11">
        <v>66.402996751270621</v>
      </c>
      <c r="D95" s="11">
        <v>51.214133336871932</v>
      </c>
    </row>
    <row r="96" spans="1:4" x14ac:dyDescent="0.2">
      <c r="A96" s="7">
        <v>45962</v>
      </c>
      <c r="B96" s="7" t="s">
        <v>64</v>
      </c>
      <c r="C96" s="11">
        <v>8.6152106467223017</v>
      </c>
      <c r="D96" s="11">
        <v>33.32177794190882</v>
      </c>
    </row>
    <row r="97" spans="1:4" x14ac:dyDescent="0.2">
      <c r="A97" s="7">
        <v>45992</v>
      </c>
      <c r="B97" s="7" t="s">
        <v>64</v>
      </c>
      <c r="C97" s="11">
        <v>-1825.8355296733628</v>
      </c>
      <c r="D97" s="11">
        <v>11.802298525145044</v>
      </c>
    </row>
    <row r="98" spans="1:4" x14ac:dyDescent="0.2">
      <c r="A98" s="7">
        <v>46023</v>
      </c>
      <c r="B98" s="7" t="s">
        <v>64</v>
      </c>
      <c r="C98" s="11">
        <v>-4.9451380102326423</v>
      </c>
      <c r="D98" s="11">
        <v>-6.8172080112913944</v>
      </c>
    </row>
    <row r="99" spans="1:4" x14ac:dyDescent="0.2">
      <c r="A99" s="7">
        <v>43831</v>
      </c>
      <c r="B99" s="7" t="s">
        <v>65</v>
      </c>
      <c r="C99" s="11">
        <v>984.3738245562173</v>
      </c>
      <c r="D99" s="11">
        <v>2.9851278391384017E-3</v>
      </c>
    </row>
    <row r="100" spans="1:4" x14ac:dyDescent="0.2">
      <c r="A100" s="7">
        <v>43862</v>
      </c>
      <c r="B100" s="7" t="s">
        <v>65</v>
      </c>
      <c r="C100" s="11">
        <v>10.55650011783154</v>
      </c>
      <c r="D100" s="11">
        <v>131.73436485430932</v>
      </c>
    </row>
    <row r="101" spans="1:4" x14ac:dyDescent="0.2">
      <c r="A101" s="7">
        <v>43891</v>
      </c>
      <c r="B101" s="7" t="s">
        <v>65</v>
      </c>
      <c r="C101" s="11">
        <v>-1473.7358516314321</v>
      </c>
      <c r="D101" s="11">
        <v>42.763795515320545</v>
      </c>
    </row>
    <row r="102" spans="1:4" x14ac:dyDescent="0.2">
      <c r="A102" s="7">
        <v>43922</v>
      </c>
      <c r="B102" s="7" t="s">
        <v>65</v>
      </c>
      <c r="C102" s="11">
        <v>88.043692509418435</v>
      </c>
      <c r="D102" s="11">
        <v>5.7302005430892988</v>
      </c>
    </row>
    <row r="103" spans="1:4" x14ac:dyDescent="0.2">
      <c r="A103" s="7">
        <v>43952</v>
      </c>
      <c r="B103" s="7" t="s">
        <v>65</v>
      </c>
      <c r="C103" s="11">
        <v>54.292813084656359</v>
      </c>
      <c r="D103" s="11">
        <v>114.85440582262146</v>
      </c>
    </row>
    <row r="104" spans="1:4" x14ac:dyDescent="0.2">
      <c r="A104" s="7">
        <v>43983</v>
      </c>
      <c r="B104" s="7" t="s">
        <v>65</v>
      </c>
      <c r="C104" s="11">
        <v>125.8106693961896</v>
      </c>
      <c r="D104" s="11">
        <v>12.197316690262694</v>
      </c>
    </row>
    <row r="105" spans="1:4" x14ac:dyDescent="0.2">
      <c r="A105" s="7">
        <v>44013</v>
      </c>
      <c r="B105" s="7" t="s">
        <v>65</v>
      </c>
      <c r="C105" s="11">
        <v>-210.92377977590374</v>
      </c>
      <c r="D105" s="11">
        <v>61.401363771143622</v>
      </c>
    </row>
    <row r="106" spans="1:4" x14ac:dyDescent="0.2">
      <c r="A106" s="7">
        <v>44044</v>
      </c>
      <c r="B106" s="7" t="s">
        <v>65</v>
      </c>
      <c r="C106" s="11">
        <v>260.94246604134992</v>
      </c>
      <c r="D106" s="11">
        <v>25.629011376809601</v>
      </c>
    </row>
    <row r="107" spans="1:4" x14ac:dyDescent="0.2">
      <c r="A107" s="7">
        <v>44075</v>
      </c>
      <c r="B107" s="7" t="s">
        <v>65</v>
      </c>
      <c r="C107" s="11">
        <v>40.028170158835593</v>
      </c>
      <c r="D107" s="11">
        <v>22.843460364536888</v>
      </c>
    </row>
    <row r="108" spans="1:4" x14ac:dyDescent="0.2">
      <c r="A108" s="7">
        <v>44105</v>
      </c>
      <c r="B108" s="7" t="s">
        <v>65</v>
      </c>
      <c r="C108" s="11">
        <v>1610.3348967264744</v>
      </c>
      <c r="D108" s="11">
        <v>87.257609092887279</v>
      </c>
    </row>
    <row r="109" spans="1:4" x14ac:dyDescent="0.2">
      <c r="A109" s="7">
        <v>44136</v>
      </c>
      <c r="B109" s="7" t="s">
        <v>65</v>
      </c>
      <c r="C109" s="11">
        <v>-883.38420801935115</v>
      </c>
      <c r="D109" s="11">
        <v>197.84370290348832</v>
      </c>
    </row>
    <row r="110" spans="1:4" x14ac:dyDescent="0.2">
      <c r="A110" s="7">
        <v>44166</v>
      </c>
      <c r="B110" s="7" t="s">
        <v>65</v>
      </c>
      <c r="C110" s="11">
        <v>49.259652581581626</v>
      </c>
      <c r="D110" s="11">
        <v>-208.37881247835693</v>
      </c>
    </row>
    <row r="111" spans="1:4" x14ac:dyDescent="0.2">
      <c r="A111" s="7">
        <v>44197</v>
      </c>
      <c r="B111" s="7" t="s">
        <v>65</v>
      </c>
      <c r="C111" s="11">
        <v>51.048261856418073</v>
      </c>
      <c r="D111" s="11">
        <v>-134.36280101805227</v>
      </c>
    </row>
    <row r="112" spans="1:4" x14ac:dyDescent="0.2">
      <c r="A112" s="7">
        <v>44228</v>
      </c>
      <c r="B112" s="7" t="s">
        <v>65</v>
      </c>
      <c r="C112" s="11">
        <v>1.2553010372106266E-2</v>
      </c>
      <c r="D112" s="11">
        <v>7.268286504740977E-2</v>
      </c>
    </row>
    <row r="113" spans="1:4" x14ac:dyDescent="0.2">
      <c r="A113" s="7">
        <v>44256</v>
      </c>
      <c r="B113" s="7" t="s">
        <v>65</v>
      </c>
      <c r="C113" s="11">
        <v>5.1865651747985053</v>
      </c>
      <c r="D113" s="11">
        <v>106.42379018354943</v>
      </c>
    </row>
    <row r="114" spans="1:4" x14ac:dyDescent="0.2">
      <c r="A114" s="7">
        <v>44287</v>
      </c>
      <c r="B114" s="7" t="s">
        <v>65</v>
      </c>
      <c r="C114" s="11">
        <v>3.4118899216817105</v>
      </c>
      <c r="D114" s="11">
        <v>352.27143393503837</v>
      </c>
    </row>
    <row r="115" spans="1:4" x14ac:dyDescent="0.2">
      <c r="A115" s="7">
        <v>44317</v>
      </c>
      <c r="B115" s="7" t="s">
        <v>65</v>
      </c>
      <c r="C115" s="11">
        <v>77.064624332630515</v>
      </c>
      <c r="D115" s="11">
        <v>364.52129506988024</v>
      </c>
    </row>
    <row r="116" spans="1:4" x14ac:dyDescent="0.2">
      <c r="A116" s="7">
        <v>44348</v>
      </c>
      <c r="B116" s="7" t="s">
        <v>65</v>
      </c>
      <c r="C116" s="11">
        <v>-419.34308558752861</v>
      </c>
      <c r="D116" s="11">
        <v>4.7895415406811201</v>
      </c>
    </row>
    <row r="117" spans="1:4" x14ac:dyDescent="0.2">
      <c r="A117" s="7">
        <v>44378</v>
      </c>
      <c r="B117" s="7" t="s">
        <v>65</v>
      </c>
      <c r="C117" s="11">
        <v>11.778868305258856</v>
      </c>
      <c r="D117" s="11">
        <v>44.832522826780398</v>
      </c>
    </row>
    <row r="118" spans="1:4" x14ac:dyDescent="0.2">
      <c r="A118" s="7">
        <v>44409</v>
      </c>
      <c r="B118" s="7" t="s">
        <v>65</v>
      </c>
      <c r="C118" s="11">
        <v>41.408934939729505</v>
      </c>
      <c r="D118" s="11">
        <v>36.282679722009249</v>
      </c>
    </row>
    <row r="119" spans="1:4" x14ac:dyDescent="0.2">
      <c r="A119" s="7">
        <v>44440</v>
      </c>
      <c r="B119" s="7" t="s">
        <v>65</v>
      </c>
      <c r="C119" s="11">
        <v>1161.8239366831356</v>
      </c>
      <c r="D119" s="11">
        <v>51.154009455308291</v>
      </c>
    </row>
    <row r="120" spans="1:4" x14ac:dyDescent="0.2">
      <c r="A120" s="7">
        <v>44470</v>
      </c>
      <c r="B120" s="7" t="s">
        <v>65</v>
      </c>
      <c r="C120" s="11">
        <v>102.14913175234925</v>
      </c>
      <c r="D120" s="11">
        <v>31.659009776751976</v>
      </c>
    </row>
    <row r="121" spans="1:4" x14ac:dyDescent="0.2">
      <c r="A121" s="7">
        <v>44501</v>
      </c>
      <c r="B121" s="7" t="s">
        <v>65</v>
      </c>
      <c r="C121" s="11">
        <v>7.9332623594558136</v>
      </c>
      <c r="D121" s="11">
        <v>17.668500029202914</v>
      </c>
    </row>
    <row r="122" spans="1:4" x14ac:dyDescent="0.2">
      <c r="A122" s="7">
        <v>44531</v>
      </c>
      <c r="B122" s="7" t="s">
        <v>65</v>
      </c>
      <c r="C122" s="11">
        <v>1.9132908032732071E-2</v>
      </c>
      <c r="D122" s="11">
        <v>57.81387542281454</v>
      </c>
    </row>
    <row r="123" spans="1:4" x14ac:dyDescent="0.2">
      <c r="A123" s="7">
        <v>44562</v>
      </c>
      <c r="B123" s="7" t="s">
        <v>65</v>
      </c>
      <c r="C123" s="11">
        <v>-446.61968134174629</v>
      </c>
      <c r="D123" s="11">
        <v>1.6925019895106832</v>
      </c>
    </row>
    <row r="124" spans="1:4" x14ac:dyDescent="0.2">
      <c r="A124" s="7">
        <v>44593</v>
      </c>
      <c r="B124" s="7" t="s">
        <v>65</v>
      </c>
      <c r="C124" s="11">
        <v>149.10092551073708</v>
      </c>
      <c r="D124" s="11">
        <v>2.9336970517828425</v>
      </c>
    </row>
    <row r="125" spans="1:4" x14ac:dyDescent="0.2">
      <c r="A125" s="7">
        <v>44621</v>
      </c>
      <c r="B125" s="7" t="s">
        <v>65</v>
      </c>
      <c r="C125" s="11">
        <v>869.9183367167285</v>
      </c>
      <c r="D125" s="11">
        <v>6.7398388902616642</v>
      </c>
    </row>
    <row r="126" spans="1:4" x14ac:dyDescent="0.2">
      <c r="A126" s="7">
        <v>44652</v>
      </c>
      <c r="B126" s="7" t="s">
        <v>65</v>
      </c>
      <c r="C126" s="11">
        <v>244.70677985269418</v>
      </c>
      <c r="D126" s="11">
        <v>29.148994447976925</v>
      </c>
    </row>
    <row r="127" spans="1:4" x14ac:dyDescent="0.2">
      <c r="A127" s="7">
        <v>44682</v>
      </c>
      <c r="B127" s="7" t="s">
        <v>65</v>
      </c>
      <c r="C127" s="11">
        <v>189.90849127840093</v>
      </c>
      <c r="D127" s="11">
        <v>11.899293364569944</v>
      </c>
    </row>
    <row r="128" spans="1:4" x14ac:dyDescent="0.2">
      <c r="A128" s="7">
        <v>44713</v>
      </c>
      <c r="B128" s="7" t="s">
        <v>65</v>
      </c>
      <c r="C128" s="11">
        <v>199.42844931391551</v>
      </c>
      <c r="D128" s="11">
        <v>0.89080087121660889</v>
      </c>
    </row>
    <row r="129" spans="1:4" x14ac:dyDescent="0.2">
      <c r="A129" s="7">
        <v>44743</v>
      </c>
      <c r="B129" s="7" t="s">
        <v>65</v>
      </c>
      <c r="C129" s="11">
        <v>23.404730113662822</v>
      </c>
      <c r="D129" s="11">
        <v>48.793008844119363</v>
      </c>
    </row>
    <row r="130" spans="1:4" x14ac:dyDescent="0.2">
      <c r="A130" s="7">
        <v>44774</v>
      </c>
      <c r="B130" s="7" t="s">
        <v>65</v>
      </c>
      <c r="C130" s="11">
        <v>-16.204347501687636</v>
      </c>
      <c r="D130" s="11">
        <v>-10.726001292844554</v>
      </c>
    </row>
    <row r="131" spans="1:4" x14ac:dyDescent="0.2">
      <c r="A131" s="7">
        <v>44805</v>
      </c>
      <c r="B131" s="7" t="s">
        <v>65</v>
      </c>
      <c r="C131" s="11">
        <v>240.33725485615858</v>
      </c>
      <c r="D131" s="11">
        <v>68.843698500234737</v>
      </c>
    </row>
    <row r="132" spans="1:4" x14ac:dyDescent="0.2">
      <c r="A132" s="7">
        <v>44835</v>
      </c>
      <c r="B132" s="7" t="s">
        <v>65</v>
      </c>
      <c r="C132" s="11">
        <v>52.441697784423617</v>
      </c>
      <c r="D132" s="11">
        <v>17.705051306662853</v>
      </c>
    </row>
    <row r="133" spans="1:4" x14ac:dyDescent="0.2">
      <c r="A133" s="7">
        <v>44866</v>
      </c>
      <c r="B133" s="7" t="s">
        <v>65</v>
      </c>
      <c r="C133" s="11">
        <v>1562.331878128221</v>
      </c>
      <c r="D133" s="11">
        <v>55.079518343331593</v>
      </c>
    </row>
    <row r="134" spans="1:4" x14ac:dyDescent="0.2">
      <c r="A134" s="7">
        <v>44896</v>
      </c>
      <c r="B134" s="7" t="s">
        <v>65</v>
      </c>
      <c r="C134" s="11">
        <v>1.5507681561350092E-2</v>
      </c>
      <c r="D134" s="11">
        <v>7.3971477655387233E-3</v>
      </c>
    </row>
    <row r="135" spans="1:4" x14ac:dyDescent="0.2">
      <c r="A135" s="7">
        <v>44927</v>
      </c>
      <c r="B135" s="7" t="s">
        <v>65</v>
      </c>
      <c r="C135" s="11">
        <v>-3351.0176114842352</v>
      </c>
      <c r="D135" s="11">
        <v>1.9621727458207985</v>
      </c>
    </row>
    <row r="136" spans="1:4" x14ac:dyDescent="0.2">
      <c r="A136" s="7">
        <v>44958</v>
      </c>
      <c r="B136" s="7" t="s">
        <v>65</v>
      </c>
      <c r="C136" s="11">
        <v>10.429529214357482</v>
      </c>
      <c r="D136" s="11">
        <v>79.750540829450784</v>
      </c>
    </row>
    <row r="137" spans="1:4" x14ac:dyDescent="0.2">
      <c r="A137" s="7">
        <v>44986</v>
      </c>
      <c r="B137" s="7" t="s">
        <v>65</v>
      </c>
      <c r="C137" s="11">
        <v>97.547983224038632</v>
      </c>
      <c r="D137" s="11">
        <v>4.9231934704150424</v>
      </c>
    </row>
    <row r="138" spans="1:4" x14ac:dyDescent="0.2">
      <c r="A138" s="7">
        <v>45017</v>
      </c>
      <c r="B138" s="7" t="s">
        <v>65</v>
      </c>
      <c r="C138" s="11">
        <v>14197.570474668522</v>
      </c>
      <c r="D138" s="11">
        <v>26.428057826274806</v>
      </c>
    </row>
    <row r="139" spans="1:4" x14ac:dyDescent="0.2">
      <c r="A139" s="7">
        <v>45047</v>
      </c>
      <c r="B139" s="7" t="s">
        <v>65</v>
      </c>
      <c r="C139" s="11">
        <v>672.60050685700298</v>
      </c>
      <c r="D139" s="11">
        <v>11.636150113119445</v>
      </c>
    </row>
    <row r="140" spans="1:4" x14ac:dyDescent="0.2">
      <c r="A140" s="7">
        <v>45078</v>
      </c>
      <c r="B140" s="7" t="s">
        <v>65</v>
      </c>
      <c r="C140" s="11">
        <v>75.243332838635453</v>
      </c>
      <c r="D140" s="11">
        <v>78.60437999013736</v>
      </c>
    </row>
    <row r="141" spans="1:4" x14ac:dyDescent="0.2">
      <c r="A141" s="7">
        <v>45108</v>
      </c>
      <c r="B141" s="7" t="s">
        <v>65</v>
      </c>
      <c r="C141" s="11">
        <v>26.595905733957732</v>
      </c>
      <c r="D141" s="11">
        <v>1.7138082968893232E-2</v>
      </c>
    </row>
    <row r="142" spans="1:4" x14ac:dyDescent="0.2">
      <c r="A142" s="7">
        <v>45139</v>
      </c>
      <c r="B142" s="7" t="s">
        <v>65</v>
      </c>
      <c r="C142" s="11">
        <v>134.4596967744003</v>
      </c>
      <c r="D142" s="11">
        <v>12.601384003341973</v>
      </c>
    </row>
    <row r="143" spans="1:4" x14ac:dyDescent="0.2">
      <c r="A143" s="7">
        <v>45170</v>
      </c>
      <c r="B143" s="7" t="s">
        <v>65</v>
      </c>
      <c r="C143" s="11">
        <v>478.17665137371898</v>
      </c>
      <c r="D143" s="11">
        <v>47.13426906008111</v>
      </c>
    </row>
    <row r="144" spans="1:4" x14ac:dyDescent="0.2">
      <c r="A144" s="7">
        <v>45200</v>
      </c>
      <c r="B144" s="7" t="s">
        <v>65</v>
      </c>
      <c r="C144" s="11">
        <v>69.233280293774925</v>
      </c>
      <c r="D144" s="11">
        <v>-6.1990753754254406</v>
      </c>
    </row>
    <row r="145" spans="1:4" x14ac:dyDescent="0.2">
      <c r="A145" s="7">
        <v>45231</v>
      </c>
      <c r="B145" s="7" t="s">
        <v>65</v>
      </c>
      <c r="C145" s="11">
        <v>65.201421216694143</v>
      </c>
      <c r="D145" s="11">
        <v>54.638137319008585</v>
      </c>
    </row>
    <row r="146" spans="1:4" x14ac:dyDescent="0.2">
      <c r="A146" s="7">
        <v>45261</v>
      </c>
      <c r="B146" s="7" t="s">
        <v>65</v>
      </c>
      <c r="C146" s="11">
        <v>37.12081913033564</v>
      </c>
      <c r="D146" s="11">
        <v>3.6233080343619393</v>
      </c>
    </row>
    <row r="147" spans="1:4" x14ac:dyDescent="0.2">
      <c r="A147" s="7">
        <v>45292</v>
      </c>
      <c r="B147" s="7" t="s">
        <v>65</v>
      </c>
      <c r="C147" s="11">
        <v>2.6715406779519104</v>
      </c>
      <c r="D147" s="11">
        <v>32.769485456836065</v>
      </c>
    </row>
    <row r="148" spans="1:4" x14ac:dyDescent="0.2">
      <c r="A148" s="7">
        <v>45323</v>
      </c>
      <c r="B148" s="7" t="s">
        <v>65</v>
      </c>
      <c r="C148" s="11">
        <v>-51.242492053663462</v>
      </c>
      <c r="D148" s="11">
        <v>6.8509067121182197</v>
      </c>
    </row>
    <row r="149" spans="1:4" x14ac:dyDescent="0.2">
      <c r="A149" s="7">
        <v>45352</v>
      </c>
      <c r="B149" s="7" t="s">
        <v>65</v>
      </c>
      <c r="C149" s="11">
        <v>70.089732517611779</v>
      </c>
      <c r="D149" s="11">
        <v>18.979723891242507</v>
      </c>
    </row>
    <row r="150" spans="1:4" x14ac:dyDescent="0.2">
      <c r="A150" s="7">
        <v>45383</v>
      </c>
      <c r="B150" s="7" t="s">
        <v>65</v>
      </c>
      <c r="C150" s="11">
        <v>66.423792072800367</v>
      </c>
      <c r="D150" s="11">
        <v>1.0354578440145687E-2</v>
      </c>
    </row>
    <row r="151" spans="1:4" x14ac:dyDescent="0.2">
      <c r="A151" s="7">
        <v>45413</v>
      </c>
      <c r="B151" s="7" t="s">
        <v>65</v>
      </c>
      <c r="C151" s="11">
        <v>26.972417621999927</v>
      </c>
      <c r="D151" s="11">
        <v>-19.67330360965822</v>
      </c>
    </row>
    <row r="152" spans="1:4" x14ac:dyDescent="0.2">
      <c r="A152" s="7">
        <v>45444</v>
      </c>
      <c r="B152" s="7" t="s">
        <v>65</v>
      </c>
      <c r="C152" s="11">
        <v>179.47108056917224</v>
      </c>
      <c r="D152" s="11">
        <v>-0.22947116607579987</v>
      </c>
    </row>
    <row r="153" spans="1:4" x14ac:dyDescent="0.2">
      <c r="A153" s="7">
        <v>45474</v>
      </c>
      <c r="B153" s="7" t="s">
        <v>65</v>
      </c>
      <c r="C153" s="11">
        <v>202.12461458326388</v>
      </c>
      <c r="D153" s="11">
        <v>66.247098348024153</v>
      </c>
    </row>
    <row r="154" spans="1:4" x14ac:dyDescent="0.2">
      <c r="A154" s="7">
        <v>45505</v>
      </c>
      <c r="B154" s="7" t="s">
        <v>65</v>
      </c>
      <c r="C154" s="11">
        <v>95.593071434713821</v>
      </c>
      <c r="D154" s="11">
        <v>10.590343127242329</v>
      </c>
    </row>
    <row r="155" spans="1:4" x14ac:dyDescent="0.2">
      <c r="A155" s="7">
        <v>45536</v>
      </c>
      <c r="B155" s="7" t="s">
        <v>65</v>
      </c>
      <c r="C155" s="11">
        <v>-744.99042352479887</v>
      </c>
      <c r="D155" s="11">
        <v>8.8125731395160152</v>
      </c>
    </row>
    <row r="156" spans="1:4" x14ac:dyDescent="0.2">
      <c r="A156" s="7">
        <v>45566</v>
      </c>
      <c r="B156" s="7" t="s">
        <v>65</v>
      </c>
      <c r="C156" s="11">
        <v>1.0345178896853061E-2</v>
      </c>
      <c r="D156" s="11">
        <v>142.72585681938111</v>
      </c>
    </row>
    <row r="157" spans="1:4" x14ac:dyDescent="0.2">
      <c r="A157" s="7">
        <v>45597</v>
      </c>
      <c r="B157" s="7" t="s">
        <v>65</v>
      </c>
      <c r="C157" s="11">
        <v>-606.4690276966154</v>
      </c>
      <c r="D157" s="11">
        <v>-7.0334188936126685</v>
      </c>
    </row>
    <row r="158" spans="1:4" x14ac:dyDescent="0.2">
      <c r="A158" s="7">
        <v>45627</v>
      </c>
      <c r="B158" s="7" t="s">
        <v>65</v>
      </c>
      <c r="C158" s="11">
        <v>16.072441333515467</v>
      </c>
      <c r="D158" s="11">
        <v>-27.632587787334508</v>
      </c>
    </row>
    <row r="159" spans="1:4" x14ac:dyDescent="0.2">
      <c r="A159" s="7">
        <v>45658</v>
      </c>
      <c r="B159" s="7" t="s">
        <v>65</v>
      </c>
      <c r="C159" s="11">
        <v>98.581092747358326</v>
      </c>
      <c r="D159" s="11">
        <v>152.93596473342697</v>
      </c>
    </row>
    <row r="160" spans="1:4" x14ac:dyDescent="0.2">
      <c r="A160" s="7">
        <v>45689</v>
      </c>
      <c r="B160" s="7" t="s">
        <v>65</v>
      </c>
      <c r="C160" s="11">
        <v>2074.5399514212677</v>
      </c>
      <c r="D160" s="11">
        <v>1.5750235668762484E-2</v>
      </c>
    </row>
    <row r="161" spans="1:4" x14ac:dyDescent="0.2">
      <c r="A161" s="7">
        <v>45717</v>
      </c>
      <c r="B161" s="7" t="s">
        <v>65</v>
      </c>
      <c r="C161" s="11">
        <v>1351.8790916708763</v>
      </c>
      <c r="D161" s="11">
        <v>-59.230100913209959</v>
      </c>
    </row>
    <row r="162" spans="1:4" x14ac:dyDescent="0.2">
      <c r="A162" s="7">
        <v>45748</v>
      </c>
      <c r="B162" s="7" t="s">
        <v>65</v>
      </c>
      <c r="C162" s="11">
        <v>54.944547650068664</v>
      </c>
      <c r="D162" s="11">
        <v>-7.6169123547423272</v>
      </c>
    </row>
    <row r="163" spans="1:4" x14ac:dyDescent="0.2">
      <c r="A163" s="7">
        <v>45778</v>
      </c>
      <c r="B163" s="7" t="s">
        <v>65</v>
      </c>
      <c r="C163" s="11">
        <v>58.095015149663467</v>
      </c>
      <c r="D163" s="11">
        <v>44.699295407844801</v>
      </c>
    </row>
    <row r="164" spans="1:4" x14ac:dyDescent="0.2">
      <c r="A164" s="7">
        <v>45809</v>
      </c>
      <c r="B164" s="7" t="s">
        <v>65</v>
      </c>
      <c r="C164" s="11">
        <v>3972.152370901184</v>
      </c>
      <c r="D164" s="11">
        <v>17.796810245292381</v>
      </c>
    </row>
    <row r="165" spans="1:4" x14ac:dyDescent="0.2">
      <c r="A165" s="7">
        <v>45839</v>
      </c>
      <c r="B165" s="7" t="s">
        <v>65</v>
      </c>
      <c r="C165" s="11">
        <v>-1558.5485995564225</v>
      </c>
      <c r="D165" s="11">
        <v>3.549737236039689</v>
      </c>
    </row>
    <row r="166" spans="1:4" x14ac:dyDescent="0.2">
      <c r="A166" s="7">
        <v>45870</v>
      </c>
      <c r="B166" s="7" t="s">
        <v>65</v>
      </c>
      <c r="C166" s="11">
        <v>101.46053962318418</v>
      </c>
      <c r="D166" s="11">
        <v>29.261339772549746</v>
      </c>
    </row>
    <row r="167" spans="1:4" x14ac:dyDescent="0.2">
      <c r="A167" s="7">
        <v>45901</v>
      </c>
      <c r="B167" s="7" t="s">
        <v>65</v>
      </c>
      <c r="C167" s="11">
        <v>27.487033009679468</v>
      </c>
      <c r="D167" s="11">
        <v>1.2987798697624389E-2</v>
      </c>
    </row>
    <row r="168" spans="1:4" x14ac:dyDescent="0.2">
      <c r="A168" s="7">
        <v>45931</v>
      </c>
      <c r="B168" s="7" t="s">
        <v>65</v>
      </c>
      <c r="C168" s="11">
        <v>3484.4088463909234</v>
      </c>
      <c r="D168" s="11">
        <v>103.43468712007747</v>
      </c>
    </row>
    <row r="169" spans="1:4" x14ac:dyDescent="0.2">
      <c r="A169" s="7">
        <v>45962</v>
      </c>
      <c r="B169" s="7" t="s">
        <v>65</v>
      </c>
      <c r="C169" s="11">
        <v>-518.472894559363</v>
      </c>
      <c r="D169" s="11">
        <v>14.833064128354859</v>
      </c>
    </row>
    <row r="170" spans="1:4" x14ac:dyDescent="0.2">
      <c r="A170" s="7">
        <v>45992</v>
      </c>
      <c r="B170" s="7" t="s">
        <v>65</v>
      </c>
      <c r="C170" s="11">
        <v>136.75650727204129</v>
      </c>
      <c r="D170" s="11">
        <v>133.05738053253759</v>
      </c>
    </row>
    <row r="171" spans="1:4" x14ac:dyDescent="0.2">
      <c r="A171" s="7">
        <v>46023</v>
      </c>
      <c r="B171" s="7" t="s">
        <v>65</v>
      </c>
      <c r="C171" s="11">
        <v>39.261346121273959</v>
      </c>
      <c r="D171" s="11">
        <v>55.790048271146567</v>
      </c>
    </row>
    <row r="172" spans="1:4" x14ac:dyDescent="0.2">
      <c r="A172" s="7">
        <v>43831</v>
      </c>
      <c r="B172" s="7" t="s">
        <v>66</v>
      </c>
      <c r="C172" s="11">
        <v>3985.7787305683637</v>
      </c>
    </row>
    <row r="173" spans="1:4" x14ac:dyDescent="0.2">
      <c r="A173" s="7">
        <v>43862</v>
      </c>
      <c r="B173" s="7" t="s">
        <v>66</v>
      </c>
      <c r="C173" s="11">
        <v>1.8424384777608611E-2</v>
      </c>
    </row>
    <row r="174" spans="1:4" x14ac:dyDescent="0.2">
      <c r="A174" s="7">
        <v>43891</v>
      </c>
      <c r="B174" s="7" t="s">
        <v>66</v>
      </c>
      <c r="C174" s="11">
        <v>693.0268206147324</v>
      </c>
    </row>
    <row r="175" spans="1:4" x14ac:dyDescent="0.2">
      <c r="A175" s="7">
        <v>43922</v>
      </c>
      <c r="B175" s="7" t="s">
        <v>66</v>
      </c>
      <c r="C175" s="11">
        <v>95.311444654516421</v>
      </c>
    </row>
    <row r="176" spans="1:4" x14ac:dyDescent="0.2">
      <c r="A176" s="7">
        <v>43952</v>
      </c>
      <c r="B176" s="7" t="s">
        <v>66</v>
      </c>
      <c r="C176" s="11">
        <v>79.766794278334615</v>
      </c>
    </row>
    <row r="177" spans="1:3" x14ac:dyDescent="0.2">
      <c r="A177" s="7">
        <v>43983</v>
      </c>
      <c r="B177" s="7" t="s">
        <v>66</v>
      </c>
      <c r="C177" s="11">
        <v>2190.5607344262044</v>
      </c>
    </row>
    <row r="178" spans="1:3" x14ac:dyDescent="0.2">
      <c r="A178" s="7">
        <v>44013</v>
      </c>
      <c r="B178" s="7" t="s">
        <v>66</v>
      </c>
      <c r="C178" s="11">
        <v>539.33095306418056</v>
      </c>
    </row>
    <row r="179" spans="1:3" x14ac:dyDescent="0.2">
      <c r="A179" s="7">
        <v>44044</v>
      </c>
      <c r="B179" s="7" t="s">
        <v>66</v>
      </c>
      <c r="C179" s="11">
        <v>191.83945263801198</v>
      </c>
    </row>
    <row r="180" spans="1:3" x14ac:dyDescent="0.2">
      <c r="A180" s="7">
        <v>44075</v>
      </c>
      <c r="B180" s="7" t="s">
        <v>66</v>
      </c>
      <c r="C180" s="11">
        <v>120.84091458662648</v>
      </c>
    </row>
    <row r="181" spans="1:3" x14ac:dyDescent="0.2">
      <c r="A181" s="7">
        <v>44105</v>
      </c>
      <c r="B181" s="7" t="s">
        <v>66</v>
      </c>
      <c r="C181" s="11">
        <v>2086.784438224448</v>
      </c>
    </row>
    <row r="182" spans="1:3" x14ac:dyDescent="0.2">
      <c r="A182" s="7">
        <v>44136</v>
      </c>
      <c r="B182" s="7" t="s">
        <v>66</v>
      </c>
      <c r="C182" s="11">
        <v>-404.45080562844186</v>
      </c>
    </row>
    <row r="183" spans="1:3" x14ac:dyDescent="0.2">
      <c r="A183" s="7">
        <v>44166</v>
      </c>
      <c r="B183" s="7" t="s">
        <v>66</v>
      </c>
      <c r="C183" s="11">
        <v>32.417890365945766</v>
      </c>
    </row>
    <row r="184" spans="1:3" x14ac:dyDescent="0.2">
      <c r="A184" s="7">
        <v>44197</v>
      </c>
      <c r="B184" s="7" t="s">
        <v>66</v>
      </c>
      <c r="C184" s="11">
        <v>34.583782093111857</v>
      </c>
    </row>
    <row r="185" spans="1:3" x14ac:dyDescent="0.2">
      <c r="A185" s="7">
        <v>44228</v>
      </c>
      <c r="B185" s="7" t="s">
        <v>66</v>
      </c>
      <c r="C185" s="11">
        <v>9.5712525225301048E-3</v>
      </c>
    </row>
    <row r="186" spans="1:3" x14ac:dyDescent="0.2">
      <c r="A186" s="7">
        <v>44256</v>
      </c>
      <c r="B186" s="7" t="s">
        <v>66</v>
      </c>
      <c r="C186" s="11">
        <v>452.9029872072187</v>
      </c>
    </row>
    <row r="187" spans="1:3" x14ac:dyDescent="0.2">
      <c r="A187" s="7">
        <v>44287</v>
      </c>
      <c r="B187" s="7" t="s">
        <v>66</v>
      </c>
      <c r="C187" s="11">
        <v>2068.3742825942936</v>
      </c>
    </row>
    <row r="188" spans="1:3" x14ac:dyDescent="0.2">
      <c r="A188" s="7">
        <v>44317</v>
      </c>
      <c r="B188" s="7" t="s">
        <v>66</v>
      </c>
      <c r="C188" s="11">
        <v>184.57349560455637</v>
      </c>
    </row>
    <row r="189" spans="1:3" x14ac:dyDescent="0.2">
      <c r="A189" s="7">
        <v>44348</v>
      </c>
      <c r="B189" s="7" t="s">
        <v>66</v>
      </c>
      <c r="C189" s="11">
        <v>396.8832031035343</v>
      </c>
    </row>
    <row r="190" spans="1:3" x14ac:dyDescent="0.2">
      <c r="A190" s="7">
        <v>44378</v>
      </c>
      <c r="B190" s="7" t="s">
        <v>66</v>
      </c>
      <c r="C190" s="11">
        <v>225.69411001901545</v>
      </c>
    </row>
    <row r="191" spans="1:3" x14ac:dyDescent="0.2">
      <c r="A191" s="7">
        <v>44409</v>
      </c>
      <c r="B191" s="7" t="s">
        <v>66</v>
      </c>
      <c r="C191" s="11">
        <v>630.31907875027389</v>
      </c>
    </row>
    <row r="192" spans="1:3" x14ac:dyDescent="0.2">
      <c r="A192" s="7">
        <v>44440</v>
      </c>
      <c r="B192" s="7" t="s">
        <v>66</v>
      </c>
      <c r="C192" s="11">
        <v>57.051272958001626</v>
      </c>
    </row>
    <row r="193" spans="1:3" x14ac:dyDescent="0.2">
      <c r="A193" s="7">
        <v>44470</v>
      </c>
      <c r="B193" s="7" t="s">
        <v>66</v>
      </c>
      <c r="C193" s="11">
        <v>-141.22055177005004</v>
      </c>
    </row>
    <row r="194" spans="1:3" x14ac:dyDescent="0.2">
      <c r="A194" s="7">
        <v>44501</v>
      </c>
      <c r="B194" s="7" t="s">
        <v>66</v>
      </c>
      <c r="C194" s="11">
        <v>518.40806333358375</v>
      </c>
    </row>
    <row r="195" spans="1:3" x14ac:dyDescent="0.2">
      <c r="A195" s="7">
        <v>44531</v>
      </c>
      <c r="B195" s="7" t="s">
        <v>66</v>
      </c>
      <c r="C195" s="11">
        <v>258.32911919727263</v>
      </c>
    </row>
    <row r="196" spans="1:3" x14ac:dyDescent="0.2">
      <c r="A196" s="7">
        <v>44562</v>
      </c>
      <c r="B196" s="7" t="s">
        <v>66</v>
      </c>
      <c r="C196" s="11">
        <v>523.16970055514048</v>
      </c>
    </row>
    <row r="197" spans="1:3" x14ac:dyDescent="0.2">
      <c r="A197" s="7">
        <v>44593</v>
      </c>
      <c r="B197" s="7" t="s">
        <v>66</v>
      </c>
      <c r="C197" s="11">
        <v>15.034777471013859</v>
      </c>
    </row>
    <row r="198" spans="1:3" x14ac:dyDescent="0.2">
      <c r="A198" s="7">
        <v>44621</v>
      </c>
      <c r="B198" s="7" t="s">
        <v>66</v>
      </c>
      <c r="C198" s="11">
        <v>1386.1013407482658</v>
      </c>
    </row>
    <row r="199" spans="1:3" x14ac:dyDescent="0.2">
      <c r="A199" s="7">
        <v>44652</v>
      </c>
      <c r="B199" s="7" t="s">
        <v>66</v>
      </c>
      <c r="C199" s="11">
        <v>2.1939145399569453</v>
      </c>
    </row>
    <row r="200" spans="1:3" x14ac:dyDescent="0.2">
      <c r="A200" s="7">
        <v>44682</v>
      </c>
      <c r="B200" s="7" t="s">
        <v>66</v>
      </c>
      <c r="C200" s="11">
        <v>15.408458723186969</v>
      </c>
    </row>
    <row r="201" spans="1:3" x14ac:dyDescent="0.2">
      <c r="A201" s="7">
        <v>44713</v>
      </c>
      <c r="B201" s="7" t="s">
        <v>66</v>
      </c>
      <c r="C201" s="11">
        <v>77.433502742282641</v>
      </c>
    </row>
    <row r="202" spans="1:3" x14ac:dyDescent="0.2">
      <c r="A202" s="7">
        <v>44743</v>
      </c>
      <c r="B202" s="7" t="s">
        <v>66</v>
      </c>
      <c r="C202" s="11">
        <v>1.8496138071762085</v>
      </c>
    </row>
    <row r="203" spans="1:3" x14ac:dyDescent="0.2">
      <c r="A203" s="7">
        <v>44774</v>
      </c>
      <c r="B203" s="7" t="s">
        <v>66</v>
      </c>
      <c r="C203" s="11">
        <v>3666.0693606086897</v>
      </c>
    </row>
    <row r="204" spans="1:3" x14ac:dyDescent="0.2">
      <c r="A204" s="7">
        <v>44805</v>
      </c>
      <c r="B204" s="7" t="s">
        <v>66</v>
      </c>
      <c r="C204" s="11">
        <v>470.65649492209189</v>
      </c>
    </row>
    <row r="205" spans="1:3" x14ac:dyDescent="0.2">
      <c r="A205" s="7">
        <v>44835</v>
      </c>
      <c r="B205" s="7" t="s">
        <v>66</v>
      </c>
      <c r="C205" s="11">
        <v>583.42733475714874</v>
      </c>
    </row>
    <row r="206" spans="1:3" x14ac:dyDescent="0.2">
      <c r="A206" s="7">
        <v>44866</v>
      </c>
      <c r="B206" s="7" t="s">
        <v>66</v>
      </c>
      <c r="C206" s="11">
        <v>1159.3910525893459</v>
      </c>
    </row>
    <row r="207" spans="1:3" x14ac:dyDescent="0.2">
      <c r="A207" s="7">
        <v>44896</v>
      </c>
      <c r="B207" s="7" t="s">
        <v>66</v>
      </c>
      <c r="C207" s="11">
        <v>271.43678455145738</v>
      </c>
    </row>
    <row r="208" spans="1:3" x14ac:dyDescent="0.2">
      <c r="A208" s="7">
        <v>44927</v>
      </c>
      <c r="B208" s="7" t="s">
        <v>66</v>
      </c>
      <c r="C208" s="11">
        <v>142.74341778934817</v>
      </c>
    </row>
    <row r="209" spans="1:3" x14ac:dyDescent="0.2">
      <c r="A209" s="7">
        <v>44958</v>
      </c>
      <c r="B209" s="7" t="s">
        <v>66</v>
      </c>
      <c r="C209" s="11">
        <v>47.421386541326164</v>
      </c>
    </row>
    <row r="210" spans="1:3" x14ac:dyDescent="0.2">
      <c r="A210" s="7">
        <v>44986</v>
      </c>
      <c r="B210" s="7" t="s">
        <v>66</v>
      </c>
      <c r="C210" s="11">
        <v>0</v>
      </c>
    </row>
    <row r="211" spans="1:3" x14ac:dyDescent="0.2">
      <c r="A211" s="7">
        <v>45017</v>
      </c>
      <c r="B211" s="7" t="s">
        <v>66</v>
      </c>
      <c r="C211" s="11">
        <v>27.744159919321927</v>
      </c>
    </row>
    <row r="212" spans="1:3" x14ac:dyDescent="0.2">
      <c r="A212" s="7">
        <v>45047</v>
      </c>
      <c r="B212" s="7" t="s">
        <v>66</v>
      </c>
      <c r="C212" s="11">
        <v>90.025624321715966</v>
      </c>
    </row>
    <row r="213" spans="1:3" x14ac:dyDescent="0.2">
      <c r="A213" s="7">
        <v>45078</v>
      </c>
      <c r="B213" s="7" t="s">
        <v>66</v>
      </c>
      <c r="C213" s="11">
        <v>1182.4379561187</v>
      </c>
    </row>
    <row r="214" spans="1:3" x14ac:dyDescent="0.2">
      <c r="A214" s="7">
        <v>45108</v>
      </c>
      <c r="B214" s="7" t="s">
        <v>66</v>
      </c>
      <c r="C214" s="11">
        <v>0</v>
      </c>
    </row>
    <row r="215" spans="1:3" x14ac:dyDescent="0.2">
      <c r="A215" s="7">
        <v>45139</v>
      </c>
      <c r="B215" s="7" t="s">
        <v>66</v>
      </c>
      <c r="C215" s="11">
        <v>73.717245629537203</v>
      </c>
    </row>
    <row r="216" spans="1:3" x14ac:dyDescent="0.2">
      <c r="A216" s="7">
        <v>45170</v>
      </c>
      <c r="B216" s="7" t="s">
        <v>66</v>
      </c>
      <c r="C216" s="11">
        <v>0</v>
      </c>
    </row>
    <row r="217" spans="1:3" x14ac:dyDescent="0.2">
      <c r="A217" s="7">
        <v>45200</v>
      </c>
      <c r="B217" s="7" t="s">
        <v>66</v>
      </c>
      <c r="C217" s="11">
        <v>1421.0070424426153</v>
      </c>
    </row>
    <row r="218" spans="1:3" x14ac:dyDescent="0.2">
      <c r="A218" s="7">
        <v>45231</v>
      </c>
      <c r="B218" s="7" t="s">
        <v>66</v>
      </c>
      <c r="C218" s="11">
        <v>823.13851363078095</v>
      </c>
    </row>
    <row r="219" spans="1:3" x14ac:dyDescent="0.2">
      <c r="A219" s="7">
        <v>45261</v>
      </c>
      <c r="B219" s="7" t="s">
        <v>66</v>
      </c>
      <c r="C219" s="11">
        <v>542.54860091682326</v>
      </c>
    </row>
    <row r="220" spans="1:3" x14ac:dyDescent="0.2">
      <c r="A220" s="7">
        <v>45292</v>
      </c>
      <c r="B220" s="7" t="s">
        <v>66</v>
      </c>
      <c r="C220" s="11">
        <v>-8.6995420721993693</v>
      </c>
    </row>
    <row r="221" spans="1:3" x14ac:dyDescent="0.2">
      <c r="A221" s="7">
        <v>45323</v>
      </c>
      <c r="B221" s="7" t="s">
        <v>66</v>
      </c>
      <c r="C221" s="11">
        <v>2088.6747447870712</v>
      </c>
    </row>
    <row r="222" spans="1:3" x14ac:dyDescent="0.2">
      <c r="A222" s="7">
        <v>45352</v>
      </c>
      <c r="B222" s="7" t="s">
        <v>66</v>
      </c>
      <c r="C222" s="11">
        <v>88.34337665543849</v>
      </c>
    </row>
    <row r="223" spans="1:3" x14ac:dyDescent="0.2">
      <c r="A223" s="7">
        <v>45383</v>
      </c>
      <c r="B223" s="7" t="s">
        <v>66</v>
      </c>
      <c r="C223" s="11">
        <v>187.20567907316567</v>
      </c>
    </row>
    <row r="224" spans="1:3" x14ac:dyDescent="0.2">
      <c r="A224" s="7">
        <v>45413</v>
      </c>
      <c r="B224" s="7" t="s">
        <v>66</v>
      </c>
      <c r="C224" s="11">
        <v>11.747766362154078</v>
      </c>
    </row>
    <row r="225" spans="1:3" x14ac:dyDescent="0.2">
      <c r="A225" s="7">
        <v>45444</v>
      </c>
      <c r="B225" s="7" t="s">
        <v>66</v>
      </c>
      <c r="C225" s="11">
        <v>74.196303873463663</v>
      </c>
    </row>
    <row r="226" spans="1:3" x14ac:dyDescent="0.2">
      <c r="A226" s="7">
        <v>45474</v>
      </c>
      <c r="B226" s="7" t="s">
        <v>66</v>
      </c>
      <c r="C226" s="11">
        <v>-108.61217083467584</v>
      </c>
    </row>
    <row r="227" spans="1:3" x14ac:dyDescent="0.2">
      <c r="A227" s="7">
        <v>45505</v>
      </c>
      <c r="B227" s="7" t="s">
        <v>66</v>
      </c>
      <c r="C227" s="11">
        <v>0.24458448517794745</v>
      </c>
    </row>
    <row r="228" spans="1:3" x14ac:dyDescent="0.2">
      <c r="A228" s="7">
        <v>45536</v>
      </c>
      <c r="B228" s="7" t="s">
        <v>66</v>
      </c>
      <c r="C228" s="11">
        <v>8.828986641627113E-3</v>
      </c>
    </row>
    <row r="229" spans="1:3" x14ac:dyDescent="0.2">
      <c r="A229" s="7">
        <v>45566</v>
      </c>
      <c r="B229" s="7" t="s">
        <v>66</v>
      </c>
      <c r="C229" s="11">
        <v>-94.473170126035399</v>
      </c>
    </row>
    <row r="230" spans="1:3" x14ac:dyDescent="0.2">
      <c r="A230" s="7">
        <v>45597</v>
      </c>
      <c r="B230" s="7" t="s">
        <v>66</v>
      </c>
      <c r="C230" s="11">
        <v>11.835406787049788</v>
      </c>
    </row>
    <row r="231" spans="1:3" x14ac:dyDescent="0.2">
      <c r="A231" s="7">
        <v>45627</v>
      </c>
      <c r="B231" s="7" t="s">
        <v>66</v>
      </c>
      <c r="C231" s="11">
        <v>-26.744732668268671</v>
      </c>
    </row>
    <row r="232" spans="1:3" x14ac:dyDescent="0.2">
      <c r="A232" s="7">
        <v>45658</v>
      </c>
      <c r="B232" s="7" t="s">
        <v>66</v>
      </c>
      <c r="C232" s="11">
        <v>-72.871729657665028</v>
      </c>
    </row>
    <row r="233" spans="1:3" x14ac:dyDescent="0.2">
      <c r="A233" s="7">
        <v>45689</v>
      </c>
      <c r="B233" s="7" t="s">
        <v>66</v>
      </c>
      <c r="C233" s="11">
        <v>288.40668778609927</v>
      </c>
    </row>
    <row r="234" spans="1:3" x14ac:dyDescent="0.2">
      <c r="A234" s="7">
        <v>45717</v>
      </c>
      <c r="B234" s="7" t="s">
        <v>66</v>
      </c>
      <c r="C234" s="11">
        <v>-14.256314923714791</v>
      </c>
    </row>
    <row r="235" spans="1:3" x14ac:dyDescent="0.2">
      <c r="A235" s="7">
        <v>45748</v>
      </c>
      <c r="B235" s="7" t="s">
        <v>66</v>
      </c>
      <c r="C235" s="11">
        <v>61.547558053448036</v>
      </c>
    </row>
    <row r="236" spans="1:3" x14ac:dyDescent="0.2">
      <c r="A236" s="7">
        <v>45778</v>
      </c>
      <c r="B236" s="7" t="s">
        <v>66</v>
      </c>
      <c r="C236" s="11">
        <v>200.70369471309584</v>
      </c>
    </row>
    <row r="237" spans="1:3" x14ac:dyDescent="0.2">
      <c r="A237" s="7">
        <v>45809</v>
      </c>
      <c r="B237" s="7" t="s">
        <v>66</v>
      </c>
      <c r="C237" s="11">
        <v>-118.48024621879239</v>
      </c>
    </row>
    <row r="238" spans="1:3" x14ac:dyDescent="0.2">
      <c r="A238" s="7">
        <v>45839</v>
      </c>
      <c r="B238" s="7" t="s">
        <v>66</v>
      </c>
      <c r="C238" s="11">
        <v>303.15470784622318</v>
      </c>
    </row>
    <row r="239" spans="1:3" x14ac:dyDescent="0.2">
      <c r="A239" s="7">
        <v>45870</v>
      </c>
      <c r="B239" s="7" t="s">
        <v>66</v>
      </c>
      <c r="C239" s="11">
        <v>-226.54010427093598</v>
      </c>
    </row>
    <row r="240" spans="1:3" x14ac:dyDescent="0.2">
      <c r="A240" s="7">
        <v>45901</v>
      </c>
      <c r="B240" s="7" t="s">
        <v>66</v>
      </c>
      <c r="C240" s="11">
        <v>88.055451004229681</v>
      </c>
    </row>
    <row r="241" spans="1:6" x14ac:dyDescent="0.2">
      <c r="A241" s="7">
        <v>45931</v>
      </c>
      <c r="B241" s="7" t="s">
        <v>66</v>
      </c>
      <c r="C241" s="11">
        <v>113.68532287551284</v>
      </c>
    </row>
    <row r="242" spans="1:6" x14ac:dyDescent="0.2">
      <c r="A242" s="7">
        <v>45962</v>
      </c>
      <c r="B242" s="7" t="s">
        <v>66</v>
      </c>
      <c r="C242" s="11">
        <v>-2.9935724388072291</v>
      </c>
    </row>
    <row r="243" spans="1:6" x14ac:dyDescent="0.2">
      <c r="A243" s="7">
        <v>45992</v>
      </c>
      <c r="B243" s="7" t="s">
        <v>66</v>
      </c>
      <c r="C243" s="11">
        <v>721.25606971397474</v>
      </c>
    </row>
    <row r="244" spans="1:6" x14ac:dyDescent="0.2">
      <c r="A244" s="7">
        <v>46023</v>
      </c>
      <c r="B244" s="7" t="s">
        <v>66</v>
      </c>
      <c r="C244" s="11">
        <v>-298.31018045312078</v>
      </c>
    </row>
    <row r="245" spans="1:6" x14ac:dyDescent="0.2">
      <c r="A245" s="7">
        <v>43831</v>
      </c>
      <c r="B245" s="6" t="s">
        <v>67</v>
      </c>
      <c r="C245" s="11">
        <v>45.021774247750166</v>
      </c>
      <c r="D245" s="11">
        <v>87.257609092887279</v>
      </c>
      <c r="E245" s="11">
        <v>5.3687063865392584E-2</v>
      </c>
      <c r="F245" s="11">
        <v>66.659748849790475</v>
      </c>
    </row>
    <row r="246" spans="1:6" x14ac:dyDescent="0.2">
      <c r="A246" s="7">
        <v>43862</v>
      </c>
      <c r="B246" s="6" t="s">
        <v>67</v>
      </c>
      <c r="C246" s="11">
        <v>209.89825742371019</v>
      </c>
      <c r="D246" s="11">
        <v>197.84370290348832</v>
      </c>
      <c r="E246" s="11">
        <v>38.70091741794046</v>
      </c>
      <c r="F246" s="11">
        <v>41.387874082459675</v>
      </c>
    </row>
    <row r="247" spans="1:6" x14ac:dyDescent="0.2">
      <c r="A247" s="7">
        <v>43891</v>
      </c>
      <c r="B247" s="6" t="s">
        <v>67</v>
      </c>
      <c r="C247" s="11">
        <v>-82.338749843406276</v>
      </c>
      <c r="D247" s="11">
        <v>-208.37881247835693</v>
      </c>
      <c r="E247" s="11">
        <v>46.198099678895986</v>
      </c>
      <c r="F247" s="11">
        <v>69.053606733613918</v>
      </c>
    </row>
    <row r="248" spans="1:6" x14ac:dyDescent="0.2">
      <c r="A248" s="7">
        <v>43922</v>
      </c>
      <c r="B248" s="6" t="s">
        <v>67</v>
      </c>
      <c r="C248" s="11">
        <v>33.059092945808359</v>
      </c>
      <c r="D248" s="11">
        <v>-134.36280101805227</v>
      </c>
      <c r="E248" s="11">
        <v>94.302034930255346</v>
      </c>
      <c r="F248" s="11">
        <v>77.939328367557835</v>
      </c>
    </row>
    <row r="249" spans="1:6" x14ac:dyDescent="0.2">
      <c r="A249" s="7">
        <v>43952</v>
      </c>
      <c r="B249" s="6" t="s">
        <v>67</v>
      </c>
      <c r="C249" s="11">
        <v>-19.148140422525991</v>
      </c>
      <c r="D249" s="11">
        <v>7.268286504740977E-2</v>
      </c>
      <c r="E249" s="11">
        <v>81.500794002064922</v>
      </c>
      <c r="F249" s="11">
        <v>13.95204115913663</v>
      </c>
    </row>
    <row r="250" spans="1:6" x14ac:dyDescent="0.2">
      <c r="A250" s="7">
        <v>43983</v>
      </c>
      <c r="B250" s="6" t="s">
        <v>67</v>
      </c>
      <c r="C250" s="11">
        <v>65.962293458913763</v>
      </c>
      <c r="D250" s="11">
        <v>106.42379018354943</v>
      </c>
      <c r="E250" s="11">
        <v>82.20529111353946</v>
      </c>
      <c r="F250" s="11">
        <v>79.884851344674573</v>
      </c>
    </row>
    <row r="251" spans="1:6" x14ac:dyDescent="0.2">
      <c r="A251" s="7">
        <v>44013</v>
      </c>
      <c r="B251" s="6" t="s">
        <v>67</v>
      </c>
      <c r="C251" s="11">
        <v>395.62291021629329</v>
      </c>
      <c r="D251" s="11">
        <v>352.27143393503837</v>
      </c>
      <c r="E251" s="11">
        <v>66.243059847144991</v>
      </c>
      <c r="F251" s="11">
        <v>44.362964224595444</v>
      </c>
    </row>
    <row r="252" spans="1:6" x14ac:dyDescent="0.2">
      <c r="A252" s="7">
        <v>44044</v>
      </c>
      <c r="B252" s="6" t="s">
        <v>67</v>
      </c>
      <c r="C252" s="11">
        <v>-253.00942846456212</v>
      </c>
      <c r="D252" s="11">
        <v>364.52129506988024</v>
      </c>
      <c r="E252" s="11">
        <v>25.1510307473973</v>
      </c>
      <c r="F252" s="11">
        <v>94.108393651126761</v>
      </c>
    </row>
    <row r="253" spans="1:6" x14ac:dyDescent="0.2">
      <c r="A253" s="7">
        <v>44075</v>
      </c>
      <c r="B253" s="6" t="s">
        <v>67</v>
      </c>
      <c r="C253" s="11">
        <v>-167.44131731737383</v>
      </c>
      <c r="D253" s="11">
        <v>4.7895415406811201</v>
      </c>
      <c r="E253" s="11">
        <v>121.48758949595882</v>
      </c>
      <c r="F253" s="11">
        <v>94.158862264223529</v>
      </c>
    </row>
    <row r="254" spans="1:6" x14ac:dyDescent="0.2">
      <c r="A254" s="7">
        <v>44105</v>
      </c>
      <c r="B254" s="6" t="s">
        <v>67</v>
      </c>
      <c r="C254" s="11">
        <v>-59.864844711578641</v>
      </c>
      <c r="D254" s="11">
        <v>44.832522826780398</v>
      </c>
      <c r="E254" s="11">
        <v>120.83093032600699</v>
      </c>
      <c r="F254" s="11">
        <v>14.352420025697921</v>
      </c>
    </row>
    <row r="255" spans="1:6" x14ac:dyDescent="0.2">
      <c r="A255" s="7">
        <v>44136</v>
      </c>
      <c r="B255" s="6" t="s">
        <v>67</v>
      </c>
      <c r="C255" s="11">
        <v>-30.776867566053969</v>
      </c>
      <c r="D255" s="11">
        <v>36.282679722009249</v>
      </c>
      <c r="E255" s="11">
        <v>88.132911400212592</v>
      </c>
      <c r="F255" s="11">
        <v>53.730429499850054</v>
      </c>
    </row>
    <row r="256" spans="1:6" x14ac:dyDescent="0.2">
      <c r="A256" s="7">
        <v>44166</v>
      </c>
      <c r="B256" s="6" t="s">
        <v>67</v>
      </c>
      <c r="C256" s="11">
        <v>432.62270477443769</v>
      </c>
      <c r="D256" s="11">
        <v>51.154009455308291</v>
      </c>
      <c r="E256" s="11">
        <v>155.14517092834447</v>
      </c>
      <c r="F256" s="11">
        <v>84.255645452100836</v>
      </c>
    </row>
    <row r="257" spans="1:6" x14ac:dyDescent="0.2">
      <c r="A257" s="7">
        <v>44197</v>
      </c>
      <c r="B257" s="6" t="s">
        <v>67</v>
      </c>
      <c r="C257" s="11">
        <v>321.79092657026985</v>
      </c>
      <c r="D257" s="11">
        <v>31.659009776751976</v>
      </c>
      <c r="E257" s="11">
        <v>137.2423672966197</v>
      </c>
      <c r="F257" s="11">
        <v>62.701972087335697</v>
      </c>
    </row>
    <row r="258" spans="1:6" x14ac:dyDescent="0.2">
      <c r="A258" s="7">
        <v>44228</v>
      </c>
      <c r="B258" s="6" t="s">
        <v>67</v>
      </c>
      <c r="C258" s="11">
        <v>72.810069237340713</v>
      </c>
      <c r="D258" s="11">
        <v>17.668500029202914</v>
      </c>
      <c r="E258" s="11">
        <v>91.866190574771636</v>
      </c>
      <c r="F258" s="11">
        <v>29.984396480345676</v>
      </c>
    </row>
    <row r="259" spans="1:6" x14ac:dyDescent="0.2">
      <c r="A259" s="7">
        <v>44256</v>
      </c>
      <c r="B259" s="6" t="s">
        <v>67</v>
      </c>
      <c r="C259" s="11">
        <v>-189.16815175049061</v>
      </c>
      <c r="D259" s="11">
        <v>57.81387542281454</v>
      </c>
      <c r="E259" s="11">
        <v>101.61972398325173</v>
      </c>
      <c r="F259" s="11">
        <v>81.150204781711594</v>
      </c>
    </row>
    <row r="260" spans="1:6" x14ac:dyDescent="0.2">
      <c r="A260" s="7">
        <v>44287</v>
      </c>
      <c r="B260" s="6" t="s">
        <v>67</v>
      </c>
      <c r="C260" s="11">
        <v>6.6524867719910539</v>
      </c>
      <c r="D260" s="11">
        <v>1.6925019895106832</v>
      </c>
      <c r="E260" s="11">
        <v>127.54857653831517</v>
      </c>
      <c r="F260" s="11">
        <v>86.534990640742478</v>
      </c>
    </row>
    <row r="261" spans="1:6" x14ac:dyDescent="0.2">
      <c r="A261" s="7">
        <v>44317</v>
      </c>
      <c r="B261" s="6" t="s">
        <v>67</v>
      </c>
      <c r="C261" s="11">
        <v>-120.39349919974531</v>
      </c>
      <c r="D261" s="11">
        <v>2.9336970517828425</v>
      </c>
      <c r="E261" s="11">
        <v>95.377730618197702</v>
      </c>
      <c r="F261" s="11">
        <v>95.13014608683649</v>
      </c>
    </row>
    <row r="262" spans="1:6" x14ac:dyDescent="0.2">
      <c r="A262" s="7">
        <v>44348</v>
      </c>
      <c r="B262" s="6" t="s">
        <v>67</v>
      </c>
      <c r="C262" s="11">
        <v>165.90963982541055</v>
      </c>
      <c r="D262" s="11">
        <v>6.7398388902616642</v>
      </c>
      <c r="E262" s="11">
        <v>67.624152456004282</v>
      </c>
      <c r="F262" s="11">
        <v>7.4932643687984353</v>
      </c>
    </row>
    <row r="263" spans="1:6" x14ac:dyDescent="0.2">
      <c r="A263" s="7">
        <v>44378</v>
      </c>
      <c r="B263" s="6" t="s">
        <v>67</v>
      </c>
      <c r="C263" s="11">
        <v>-301.13896082923384</v>
      </c>
      <c r="D263" s="11">
        <v>29.148994447976925</v>
      </c>
      <c r="E263" s="11">
        <v>158.88792593899552</v>
      </c>
      <c r="F263" s="11">
        <v>37.535695361915892</v>
      </c>
    </row>
    <row r="264" spans="1:6" x14ac:dyDescent="0.2">
      <c r="A264" s="7">
        <v>44409</v>
      </c>
      <c r="B264" s="6" t="s">
        <v>67</v>
      </c>
      <c r="C264" s="11">
        <v>5.2655781406435445</v>
      </c>
      <c r="D264" s="11">
        <v>11.899293364569944</v>
      </c>
      <c r="E264" s="11">
        <v>130.34077583557698</v>
      </c>
      <c r="F264" s="11">
        <v>86.772068669697674</v>
      </c>
    </row>
    <row r="265" spans="1:6" x14ac:dyDescent="0.2">
      <c r="A265" s="7">
        <v>44440</v>
      </c>
      <c r="B265" s="6" t="s">
        <v>67</v>
      </c>
      <c r="C265" s="11">
        <v>-18.056127031659695</v>
      </c>
      <c r="D265" s="11">
        <v>0.89080087121660889</v>
      </c>
      <c r="E265" s="11">
        <v>38.447387183824539</v>
      </c>
      <c r="F265" s="11">
        <v>15.710239680344817</v>
      </c>
    </row>
    <row r="266" spans="1:6" x14ac:dyDescent="0.2">
      <c r="A266" s="7">
        <v>44470</v>
      </c>
      <c r="B266" s="6" t="s">
        <v>67</v>
      </c>
      <c r="C266" s="11">
        <v>439.14796409271639</v>
      </c>
      <c r="D266" s="11">
        <v>48.793008844119363</v>
      </c>
      <c r="E266" s="11">
        <v>81.6301140616943</v>
      </c>
      <c r="F266" s="11">
        <v>64.631407534570059</v>
      </c>
    </row>
    <row r="267" spans="1:6" x14ac:dyDescent="0.2">
      <c r="A267" s="7">
        <v>44501</v>
      </c>
      <c r="B267" s="6" t="s">
        <v>67</v>
      </c>
      <c r="C267" s="11">
        <v>9619.0847437068442</v>
      </c>
      <c r="D267" s="11">
        <v>-10.726001292844554</v>
      </c>
      <c r="E267" s="11">
        <v>219.31714854566877</v>
      </c>
      <c r="F267" s="11">
        <v>16.682510030457507</v>
      </c>
    </row>
    <row r="268" spans="1:6" x14ac:dyDescent="0.2">
      <c r="A268" s="7">
        <v>44531</v>
      </c>
      <c r="B268" s="6" t="s">
        <v>67</v>
      </c>
      <c r="C268" s="11">
        <v>2.7976395011158051</v>
      </c>
      <c r="D268" s="11">
        <v>68.843698500234737</v>
      </c>
      <c r="E268" s="11">
        <v>21.599407744091394</v>
      </c>
      <c r="F268" s="11">
        <v>62.368389333002469</v>
      </c>
    </row>
    <row r="269" spans="1:6" x14ac:dyDescent="0.2">
      <c r="A269" s="7">
        <v>44562</v>
      </c>
      <c r="B269" s="6" t="s">
        <v>67</v>
      </c>
      <c r="C269" s="11">
        <v>-1881.7650146415881</v>
      </c>
      <c r="D269" s="11">
        <v>17.705051306662853</v>
      </c>
      <c r="E269" s="11">
        <v>186.26194257848067</v>
      </c>
      <c r="F269" s="11">
        <v>68.818453657676415</v>
      </c>
    </row>
    <row r="270" spans="1:6" x14ac:dyDescent="0.2">
      <c r="A270" s="7">
        <v>44593</v>
      </c>
      <c r="B270" s="6" t="s">
        <v>67</v>
      </c>
      <c r="C270" s="11">
        <v>13.850838459705869</v>
      </c>
      <c r="D270" s="11">
        <v>55.079518343331593</v>
      </c>
      <c r="E270" s="11">
        <v>129.00764162605734</v>
      </c>
      <c r="F270" s="11">
        <v>84.746986042311818</v>
      </c>
    </row>
    <row r="271" spans="1:6" x14ac:dyDescent="0.2">
      <c r="A271" s="7">
        <v>44621</v>
      </c>
      <c r="B271" s="6" t="s">
        <v>67</v>
      </c>
      <c r="C271" s="11">
        <v>14.078391342757495</v>
      </c>
      <c r="D271" s="11">
        <v>7.3971477655387233E-3</v>
      </c>
      <c r="E271" s="11">
        <v>3.1730530489090247</v>
      </c>
      <c r="F271" s="11">
        <v>69.064942865106261</v>
      </c>
    </row>
    <row r="272" spans="1:6" x14ac:dyDescent="0.2">
      <c r="A272" s="7">
        <v>44652</v>
      </c>
      <c r="B272" s="6" t="s">
        <v>67</v>
      </c>
      <c r="C272" s="11">
        <v>0</v>
      </c>
      <c r="D272" s="11">
        <v>1.9621727458207985</v>
      </c>
      <c r="E272" s="11">
        <v>58.234984072223781</v>
      </c>
      <c r="F272" s="11">
        <v>64.84465206567468</v>
      </c>
    </row>
    <row r="273" spans="1:6" x14ac:dyDescent="0.2">
      <c r="A273" s="7">
        <v>44682</v>
      </c>
      <c r="B273" s="6" t="s">
        <v>67</v>
      </c>
      <c r="C273" s="11">
        <v>-1978.6450658681088</v>
      </c>
      <c r="D273" s="11">
        <v>79.750540829450784</v>
      </c>
      <c r="E273" s="11">
        <v>82.814892925912233</v>
      </c>
      <c r="F273" s="11">
        <v>85.223118769470531</v>
      </c>
    </row>
    <row r="274" spans="1:6" x14ac:dyDescent="0.2">
      <c r="A274" s="7">
        <v>44713</v>
      </c>
      <c r="B274" s="6" t="s">
        <v>67</v>
      </c>
      <c r="C274" s="11">
        <v>46.305672821805025</v>
      </c>
      <c r="D274" s="11">
        <v>4.9231934704150424</v>
      </c>
      <c r="E274" s="11">
        <v>103.91046051171635</v>
      </c>
      <c r="F274" s="11">
        <v>79.95721319427507</v>
      </c>
    </row>
    <row r="275" spans="1:6" x14ac:dyDescent="0.2">
      <c r="A275" s="7">
        <v>44743</v>
      </c>
      <c r="B275" s="6" t="s">
        <v>67</v>
      </c>
      <c r="C275" s="11">
        <v>1290.0085439982665</v>
      </c>
      <c r="D275" s="11">
        <v>26.428057826274806</v>
      </c>
      <c r="E275" s="11">
        <v>186.42703868230839</v>
      </c>
      <c r="F275" s="11">
        <v>75.619589744030932</v>
      </c>
    </row>
    <row r="276" spans="1:6" x14ac:dyDescent="0.2">
      <c r="A276" s="7">
        <v>44774</v>
      </c>
      <c r="B276" s="6" t="s">
        <v>67</v>
      </c>
      <c r="C276" s="11">
        <v>48.307790439000073</v>
      </c>
      <c r="D276" s="11">
        <v>11.636150113119445</v>
      </c>
      <c r="E276" s="11">
        <v>99.298776620873383</v>
      </c>
      <c r="F276" s="11">
        <v>18.75605692781086</v>
      </c>
    </row>
    <row r="277" spans="1:6" x14ac:dyDescent="0.2">
      <c r="A277" s="7">
        <v>44805</v>
      </c>
      <c r="B277" s="6" t="s">
        <v>67</v>
      </c>
      <c r="C277" s="11">
        <v>2807.2233568883198</v>
      </c>
      <c r="D277" s="11">
        <v>78.60437999013736</v>
      </c>
      <c r="E277" s="11">
        <v>218.28912045091286</v>
      </c>
      <c r="F277" s="11">
        <v>53.511219995790505</v>
      </c>
    </row>
    <row r="278" spans="1:6" x14ac:dyDescent="0.2">
      <c r="A278" s="7">
        <v>44835</v>
      </c>
      <c r="B278" s="6" t="s">
        <v>67</v>
      </c>
      <c r="C278" s="11">
        <v>-1048.12647757886</v>
      </c>
      <c r="D278" s="11">
        <v>51.01393827078477</v>
      </c>
      <c r="E278" s="11">
        <v>97.052720638387697</v>
      </c>
      <c r="F278" s="11">
        <v>38.290185160619593</v>
      </c>
    </row>
    <row r="279" spans="1:6" x14ac:dyDescent="0.2">
      <c r="A279" s="7">
        <v>44866</v>
      </c>
      <c r="B279" s="6" t="s">
        <v>67</v>
      </c>
      <c r="C279" s="11">
        <v>22.048041749630084</v>
      </c>
      <c r="D279" s="11">
        <v>3.6240597291995238</v>
      </c>
      <c r="E279" s="11">
        <v>148.92235031490534</v>
      </c>
      <c r="F279" s="11">
        <v>86.394280453786607</v>
      </c>
    </row>
    <row r="280" spans="1:6" x14ac:dyDescent="0.2">
      <c r="A280" s="7">
        <v>44896</v>
      </c>
      <c r="B280" s="6" t="s">
        <v>67</v>
      </c>
      <c r="C280" s="11">
        <v>197.4934438137422</v>
      </c>
      <c r="D280" s="11">
        <v>15.024522312693447</v>
      </c>
      <c r="E280" s="11">
        <v>82.870322792713637</v>
      </c>
      <c r="F280" s="11">
        <v>82.838616744623977</v>
      </c>
    </row>
    <row r="281" spans="1:6" x14ac:dyDescent="0.2">
      <c r="A281" s="7">
        <v>44927</v>
      </c>
      <c r="B281" s="6" t="s">
        <v>67</v>
      </c>
      <c r="C281" s="11">
        <v>58.899267910885392</v>
      </c>
      <c r="D281" s="11">
        <v>5.6965834148204859</v>
      </c>
      <c r="E281" s="11">
        <v>152.71369750361606</v>
      </c>
      <c r="F281" s="11">
        <v>69.5296769916404</v>
      </c>
    </row>
    <row r="282" spans="1:6" x14ac:dyDescent="0.2">
      <c r="A282" s="7">
        <v>44958</v>
      </c>
      <c r="B282" s="6" t="s">
        <v>67</v>
      </c>
      <c r="C282" s="11">
        <v>8.8733218838714105</v>
      </c>
      <c r="D282" s="11">
        <v>1.5302138468612192</v>
      </c>
      <c r="E282" s="11">
        <v>137.62174624187648</v>
      </c>
      <c r="F282" s="11">
        <v>41.966576530527021</v>
      </c>
    </row>
    <row r="283" spans="1:6" x14ac:dyDescent="0.2">
      <c r="A283" s="7">
        <v>44986</v>
      </c>
      <c r="B283" s="6" t="s">
        <v>67</v>
      </c>
      <c r="C283" s="11">
        <v>0</v>
      </c>
      <c r="D283" s="11">
        <v>0.16317316122474887</v>
      </c>
      <c r="E283" s="11">
        <v>464.11649506788194</v>
      </c>
      <c r="F283" s="11">
        <v>16.894821742818657</v>
      </c>
    </row>
    <row r="284" spans="1:6" x14ac:dyDescent="0.2">
      <c r="A284" s="7">
        <v>45017</v>
      </c>
      <c r="B284" s="6" t="s">
        <v>67</v>
      </c>
      <c r="C284" s="11">
        <v>1.9254030227454757E-3</v>
      </c>
      <c r="D284" s="11">
        <v>1.1955937868420096E-2</v>
      </c>
      <c r="E284" s="11">
        <v>146.14140727055334</v>
      </c>
      <c r="F284" s="11">
        <v>6.2148020903035501</v>
      </c>
    </row>
    <row r="285" spans="1:6" x14ac:dyDescent="0.2">
      <c r="A285" s="7">
        <v>45047</v>
      </c>
      <c r="B285" s="6" t="s">
        <v>67</v>
      </c>
      <c r="C285" s="11">
        <v>249.64574049836199</v>
      </c>
      <c r="D285" s="11">
        <v>4.7394978062874564</v>
      </c>
      <c r="E285" s="11">
        <v>51.582808588905493</v>
      </c>
      <c r="F285" s="11">
        <v>12.742309360740778</v>
      </c>
    </row>
    <row r="286" spans="1:6" x14ac:dyDescent="0.2">
      <c r="A286" s="7">
        <v>45078</v>
      </c>
      <c r="B286" s="6" t="s">
        <v>67</v>
      </c>
      <c r="C286" s="11">
        <v>11.989091410602342</v>
      </c>
      <c r="D286" s="11">
        <v>7.9376031645097189</v>
      </c>
      <c r="E286" s="11">
        <v>143.04026815665483</v>
      </c>
      <c r="F286" s="11">
        <v>99.476129347814904</v>
      </c>
    </row>
    <row r="287" spans="1:6" x14ac:dyDescent="0.2">
      <c r="A287" s="7">
        <v>45108</v>
      </c>
      <c r="B287" s="6" t="s">
        <v>67</v>
      </c>
      <c r="C287" s="11">
        <v>519.85609554244252</v>
      </c>
      <c r="D287" s="11">
        <v>1.7068778421505377</v>
      </c>
      <c r="E287" s="11">
        <v>551.55538084856585</v>
      </c>
      <c r="F287" s="11">
        <v>93.409830367177932</v>
      </c>
    </row>
    <row r="288" spans="1:6" x14ac:dyDescent="0.2">
      <c r="A288" s="7">
        <v>45139</v>
      </c>
      <c r="B288" s="6" t="s">
        <v>67</v>
      </c>
      <c r="C288" s="11">
        <v>17.285746232184717</v>
      </c>
      <c r="D288" s="11">
        <v>0.95360664362951553</v>
      </c>
      <c r="E288" s="11">
        <v>71.82656479015057</v>
      </c>
      <c r="F288" s="11">
        <v>41.929631037148482</v>
      </c>
    </row>
    <row r="289" spans="1:6" x14ac:dyDescent="0.2">
      <c r="A289" s="7">
        <v>45170</v>
      </c>
      <c r="B289" s="6" t="s">
        <v>67</v>
      </c>
      <c r="C289" s="11">
        <v>0</v>
      </c>
      <c r="D289" s="11">
        <v>-11.6434905476192</v>
      </c>
      <c r="E289" s="11">
        <v>564.18925931102876</v>
      </c>
      <c r="F289" s="11">
        <v>63.45845531780342</v>
      </c>
    </row>
    <row r="290" spans="1:6" x14ac:dyDescent="0.2">
      <c r="A290" s="7">
        <v>45200</v>
      </c>
      <c r="B290" s="6" t="s">
        <v>67</v>
      </c>
      <c r="C290" s="11">
        <v>157.27331145174415</v>
      </c>
      <c r="D290" s="11">
        <v>74.298259907775886</v>
      </c>
      <c r="E290" s="11">
        <v>88.60533751033573</v>
      </c>
      <c r="F290" s="11">
        <v>15.93417455998437</v>
      </c>
    </row>
    <row r="291" spans="1:6" x14ac:dyDescent="0.2">
      <c r="A291" s="7">
        <v>45231</v>
      </c>
      <c r="B291" s="6" t="s">
        <v>67</v>
      </c>
      <c r="C291" s="11">
        <v>9.2764271960815332</v>
      </c>
      <c r="D291" s="11">
        <v>4.0672343555774999</v>
      </c>
      <c r="E291" s="11">
        <v>1.513484886780768</v>
      </c>
      <c r="F291" s="11">
        <v>13.806534783461998</v>
      </c>
    </row>
    <row r="292" spans="1:6" x14ac:dyDescent="0.2">
      <c r="A292" s="7">
        <v>45261</v>
      </c>
      <c r="B292" s="6" t="s">
        <v>67</v>
      </c>
      <c r="C292" s="11">
        <v>13.064147017137001</v>
      </c>
      <c r="D292" s="11">
        <v>54.807680746568302</v>
      </c>
      <c r="E292" s="11">
        <v>95.164715741125434</v>
      </c>
      <c r="F292" s="11">
        <v>15.40665591094511</v>
      </c>
    </row>
    <row r="293" spans="1:6" x14ac:dyDescent="0.2">
      <c r="A293" s="7">
        <v>45292</v>
      </c>
      <c r="B293" s="6" t="s">
        <v>67</v>
      </c>
      <c r="C293" s="11">
        <v>15.586995663879957</v>
      </c>
      <c r="D293" s="11">
        <v>7.7180899598805319E-3</v>
      </c>
      <c r="E293" s="11">
        <v>2.0016495457197969E-2</v>
      </c>
      <c r="F293" s="11">
        <v>58.363272784742861</v>
      </c>
    </row>
    <row r="294" spans="1:6" x14ac:dyDescent="0.2">
      <c r="A294" s="7">
        <v>45323</v>
      </c>
      <c r="B294" s="6" t="s">
        <v>67</v>
      </c>
      <c r="C294" s="11">
        <v>-0.32223433106939126</v>
      </c>
      <c r="D294" s="11">
        <v>9.3352005716012751</v>
      </c>
      <c r="E294" s="11">
        <v>20.141121630247628</v>
      </c>
      <c r="F294" s="11">
        <v>65.323366753125484</v>
      </c>
    </row>
    <row r="295" spans="1:6" x14ac:dyDescent="0.2">
      <c r="A295" s="7">
        <v>45352</v>
      </c>
      <c r="B295" s="6" t="s">
        <v>67</v>
      </c>
      <c r="C295" s="11">
        <v>-96.419492822612128</v>
      </c>
      <c r="D295" s="11">
        <v>21.751841652597228</v>
      </c>
      <c r="E295" s="11">
        <v>4.4157751459997012</v>
      </c>
      <c r="F295" s="11">
        <v>41.302278481837988</v>
      </c>
    </row>
    <row r="296" spans="1:6" x14ac:dyDescent="0.2">
      <c r="A296" s="7">
        <v>45383</v>
      </c>
      <c r="B296" s="6" t="s">
        <v>67</v>
      </c>
      <c r="C296" s="11">
        <v>-174.90919726867591</v>
      </c>
      <c r="D296" s="11">
        <v>6.0851055137958259</v>
      </c>
      <c r="E296" s="11">
        <v>79.05045771660555</v>
      </c>
      <c r="F296" s="11">
        <v>20.142950653363911</v>
      </c>
    </row>
    <row r="297" spans="1:6" x14ac:dyDescent="0.2">
      <c r="A297" s="7">
        <v>45413</v>
      </c>
      <c r="B297" s="6" t="s">
        <v>67</v>
      </c>
      <c r="C297" s="11">
        <v>1.0034442667544663</v>
      </c>
      <c r="D297" s="11">
        <v>29.280576278256618</v>
      </c>
      <c r="E297" s="11">
        <v>64.795589843275437</v>
      </c>
      <c r="F297" s="11">
        <v>64.779398872717138</v>
      </c>
    </row>
    <row r="298" spans="1:6" x14ac:dyDescent="0.2">
      <c r="A298" s="7">
        <v>45444</v>
      </c>
      <c r="B298" s="6" t="s">
        <v>67</v>
      </c>
      <c r="C298" s="11">
        <v>31.952360685088806</v>
      </c>
      <c r="D298" s="11">
        <v>0.39386715266737277</v>
      </c>
      <c r="E298" s="11">
        <v>166.38038715680852</v>
      </c>
      <c r="F298" s="11">
        <v>54.757502712569007</v>
      </c>
    </row>
    <row r="299" spans="1:6" x14ac:dyDescent="0.2">
      <c r="A299" s="7">
        <v>45474</v>
      </c>
      <c r="B299" s="6" t="s">
        <v>67</v>
      </c>
      <c r="C299" s="11">
        <v>173.46050770576795</v>
      </c>
      <c r="D299" s="11">
        <v>15.792738451785786</v>
      </c>
      <c r="E299" s="11">
        <v>209.27241604851451</v>
      </c>
      <c r="F299" s="11">
        <v>55.697636456174862</v>
      </c>
    </row>
    <row r="300" spans="1:6" x14ac:dyDescent="0.2">
      <c r="A300" s="7">
        <v>45505</v>
      </c>
      <c r="B300" s="6" t="s">
        <v>67</v>
      </c>
      <c r="C300" s="11">
        <v>54.206802229129565</v>
      </c>
      <c r="D300" s="11">
        <v>1.7716503289307111E-2</v>
      </c>
      <c r="E300" s="11">
        <v>26.509778228444134</v>
      </c>
      <c r="F300" s="11">
        <v>31.142665185603324</v>
      </c>
    </row>
    <row r="301" spans="1:6" x14ac:dyDescent="0.2">
      <c r="A301" s="7">
        <v>45536</v>
      </c>
      <c r="B301" s="6" t="s">
        <v>67</v>
      </c>
      <c r="C301" s="11">
        <v>15.830138812992116</v>
      </c>
      <c r="D301" s="11">
        <v>13.714041695932581</v>
      </c>
      <c r="E301" s="11">
        <v>137.70811479358511</v>
      </c>
      <c r="F301" s="11">
        <v>51.348305376828087</v>
      </c>
    </row>
    <row r="302" spans="1:6" x14ac:dyDescent="0.2">
      <c r="A302" s="7">
        <v>45566</v>
      </c>
      <c r="B302" s="6" t="s">
        <v>67</v>
      </c>
      <c r="C302" s="11">
        <v>-6083.725734532256</v>
      </c>
      <c r="D302" s="11">
        <v>65.066797212813057</v>
      </c>
      <c r="E302" s="11">
        <v>71.360567011981516</v>
      </c>
      <c r="F302" s="11">
        <v>40.931522304394797</v>
      </c>
    </row>
    <row r="303" spans="1:6" x14ac:dyDescent="0.2">
      <c r="A303" s="7">
        <v>45597</v>
      </c>
      <c r="B303" s="6" t="s">
        <v>67</v>
      </c>
      <c r="C303" s="11">
        <v>-0.69390220576631023</v>
      </c>
      <c r="D303" s="11">
        <v>-4.8762984691918101</v>
      </c>
      <c r="E303" s="11">
        <v>103.87822686181426</v>
      </c>
      <c r="F303" s="11">
        <v>6.3373802579606231</v>
      </c>
    </row>
    <row r="304" spans="1:6" x14ac:dyDescent="0.2">
      <c r="A304" s="7">
        <v>45627</v>
      </c>
      <c r="B304" s="6" t="s">
        <v>67</v>
      </c>
      <c r="C304" s="11">
        <v>14879.397549307856</v>
      </c>
      <c r="D304" s="11">
        <v>24.093975787818923</v>
      </c>
      <c r="E304" s="11">
        <v>14.142326705419231</v>
      </c>
      <c r="F304" s="11">
        <v>65.367014685854556</v>
      </c>
    </row>
    <row r="305" spans="1:6" x14ac:dyDescent="0.2">
      <c r="A305" s="7">
        <v>45658</v>
      </c>
      <c r="B305" s="6" t="s">
        <v>67</v>
      </c>
      <c r="C305" s="11">
        <v>3.5542290532812046</v>
      </c>
      <c r="D305" s="11">
        <v>82.612514003446378</v>
      </c>
      <c r="E305" s="11">
        <v>3.0487056606605667</v>
      </c>
      <c r="F305" s="11">
        <v>67.881007873521654</v>
      </c>
    </row>
    <row r="306" spans="1:6" x14ac:dyDescent="0.2">
      <c r="A306" s="7">
        <v>45689</v>
      </c>
      <c r="B306" s="6" t="s">
        <v>67</v>
      </c>
      <c r="C306" s="11">
        <v>-1246.939279808925</v>
      </c>
      <c r="D306" s="11">
        <v>38.683619263493561</v>
      </c>
      <c r="E306" s="11">
        <v>61.873625297709204</v>
      </c>
      <c r="F306" s="11">
        <v>32.803911648303739</v>
      </c>
    </row>
    <row r="307" spans="1:6" x14ac:dyDescent="0.2">
      <c r="A307" s="7">
        <v>45717</v>
      </c>
      <c r="B307" s="6" t="s">
        <v>67</v>
      </c>
      <c r="C307" s="11">
        <v>542.90024066295371</v>
      </c>
      <c r="D307" s="11">
        <v>1.6013610592447642</v>
      </c>
      <c r="E307" s="11">
        <v>46.245826068934207</v>
      </c>
      <c r="F307" s="11">
        <v>85.649542742942799</v>
      </c>
    </row>
    <row r="308" spans="1:6" x14ac:dyDescent="0.2">
      <c r="A308" s="7">
        <v>45748</v>
      </c>
      <c r="B308" s="6" t="s">
        <v>67</v>
      </c>
      <c r="C308" s="11">
        <v>38.325165218625777</v>
      </c>
      <c r="D308" s="11">
        <v>26.619157528371307</v>
      </c>
      <c r="E308" s="11">
        <v>60.469463435263322</v>
      </c>
      <c r="F308" s="11">
        <v>69.663948399735517</v>
      </c>
    </row>
    <row r="309" spans="1:6" x14ac:dyDescent="0.2">
      <c r="A309" s="7">
        <v>45778</v>
      </c>
      <c r="B309" s="6" t="s">
        <v>67</v>
      </c>
      <c r="C309" s="11">
        <v>235.16003079261668</v>
      </c>
      <c r="D309" s="11">
        <v>1.4244620207460281E-2</v>
      </c>
      <c r="E309" s="11">
        <v>232.07488805253615</v>
      </c>
      <c r="F309" s="11">
        <v>70.959806329389934</v>
      </c>
    </row>
    <row r="310" spans="1:6" x14ac:dyDescent="0.2">
      <c r="A310" s="7">
        <v>45809</v>
      </c>
      <c r="B310" s="6" t="s">
        <v>67</v>
      </c>
      <c r="C310" s="11">
        <v>-1427.6141085093786</v>
      </c>
      <c r="D310" s="11">
        <v>-17.907185936081241</v>
      </c>
      <c r="E310" s="11">
        <v>118.6943612739103</v>
      </c>
      <c r="F310" s="11">
        <v>33.128814907744584</v>
      </c>
    </row>
    <row r="311" spans="1:6" x14ac:dyDescent="0.2">
      <c r="A311" s="7">
        <v>45839</v>
      </c>
      <c r="B311" s="6" t="s">
        <v>67</v>
      </c>
      <c r="C311" s="11">
        <v>1049.5247280073941</v>
      </c>
      <c r="D311" s="11">
        <v>-7.3706904134717721</v>
      </c>
      <c r="E311" s="11">
        <v>145.13046963731591</v>
      </c>
      <c r="F311" s="11">
        <v>48.936271833541824</v>
      </c>
    </row>
    <row r="312" spans="1:6" x14ac:dyDescent="0.2">
      <c r="A312" s="7">
        <v>45870</v>
      </c>
      <c r="B312" s="6" t="s">
        <v>67</v>
      </c>
      <c r="C312" s="11">
        <v>5.5227994187638796</v>
      </c>
      <c r="D312" s="11">
        <v>126.2215307557726</v>
      </c>
      <c r="E312" s="11">
        <v>43.046501797795472</v>
      </c>
      <c r="F312" s="11">
        <v>31.32346398527357</v>
      </c>
    </row>
    <row r="313" spans="1:6" x14ac:dyDescent="0.2">
      <c r="A313" s="7">
        <v>45901</v>
      </c>
      <c r="B313" s="6" t="s">
        <v>67</v>
      </c>
      <c r="C313" s="11">
        <v>1616.3079868379475</v>
      </c>
      <c r="D313" s="11">
        <v>17.425445883021982</v>
      </c>
      <c r="E313" s="11">
        <v>100.61504777418071</v>
      </c>
      <c r="F313" s="11">
        <v>70.841649339779096</v>
      </c>
    </row>
    <row r="314" spans="1:6" x14ac:dyDescent="0.2">
      <c r="A314" s="7">
        <v>45931</v>
      </c>
      <c r="B314" s="6" t="s">
        <v>67</v>
      </c>
      <c r="C314" s="11">
        <v>-213.0751343922816</v>
      </c>
      <c r="D314" s="11">
        <v>8.8847902076076455</v>
      </c>
      <c r="E314" s="11">
        <v>181.98028234513879</v>
      </c>
      <c r="F314" s="11">
        <v>47.777191293766663</v>
      </c>
    </row>
    <row r="315" spans="1:6" x14ac:dyDescent="0.2">
      <c r="A315" s="7">
        <v>45962</v>
      </c>
      <c r="B315" s="6" t="s">
        <v>67</v>
      </c>
      <c r="C315" s="11">
        <v>73.473271220787879</v>
      </c>
      <c r="D315" s="11">
        <v>133.79518291866233</v>
      </c>
      <c r="E315" s="11">
        <v>91.194786604778557</v>
      </c>
      <c r="F315" s="11">
        <v>61.103711023256302</v>
      </c>
    </row>
    <row r="316" spans="1:6" x14ac:dyDescent="0.2">
      <c r="A316" s="7">
        <v>45992</v>
      </c>
      <c r="B316" s="6" t="s">
        <v>67</v>
      </c>
      <c r="C316" s="11">
        <v>57.182038268612132</v>
      </c>
      <c r="D316" s="11">
        <v>-1.6303353641845422</v>
      </c>
      <c r="E316" s="11">
        <v>56.071132722974689</v>
      </c>
      <c r="F316" s="11">
        <v>0.14527497644951648</v>
      </c>
    </row>
    <row r="317" spans="1:6" x14ac:dyDescent="0.2">
      <c r="A317" s="7">
        <v>46023</v>
      </c>
      <c r="B317" s="6" t="s">
        <v>67</v>
      </c>
      <c r="C317" s="11">
        <v>1.1088687991309987E-2</v>
      </c>
      <c r="D317" s="11">
        <v>-11.793835510420241</v>
      </c>
      <c r="E317" s="11">
        <v>12.792765649888738</v>
      </c>
      <c r="F317" s="11">
        <v>1.7407846944427097</v>
      </c>
    </row>
    <row r="318" spans="1:6" x14ac:dyDescent="0.2">
      <c r="A318" s="7">
        <v>43831</v>
      </c>
      <c r="B318" s="6" t="s">
        <v>68</v>
      </c>
      <c r="C318" s="11">
        <v>22.588504205514592</v>
      </c>
      <c r="D318" s="11">
        <v>99.539209328612344</v>
      </c>
      <c r="E318" s="11">
        <v>47.223249523734324</v>
      </c>
      <c r="F318" s="11">
        <v>28.192110636669419</v>
      </c>
    </row>
    <row r="319" spans="1:6" x14ac:dyDescent="0.2">
      <c r="A319" s="7">
        <v>43862</v>
      </c>
      <c r="B319" s="6" t="s">
        <v>68</v>
      </c>
      <c r="C319" s="11">
        <v>3.6754751857471635</v>
      </c>
      <c r="D319" s="11">
        <v>1.8474254160149584E-2</v>
      </c>
      <c r="E319" s="11">
        <v>71.097930853925959</v>
      </c>
      <c r="F319" s="11">
        <v>74.045489391295249</v>
      </c>
    </row>
    <row r="320" spans="1:6" x14ac:dyDescent="0.2">
      <c r="A320" s="7">
        <v>43891</v>
      </c>
      <c r="B320" s="6" t="s">
        <v>68</v>
      </c>
      <c r="C320" s="11">
        <v>23.145045348857721</v>
      </c>
      <c r="D320" s="11">
        <v>-2.5052081913768207</v>
      </c>
      <c r="E320" s="11">
        <v>137.03992581215519</v>
      </c>
      <c r="F320" s="11">
        <v>25.635426622737121</v>
      </c>
    </row>
    <row r="321" spans="1:6" x14ac:dyDescent="0.2">
      <c r="A321" s="7">
        <v>43922</v>
      </c>
      <c r="B321" s="6" t="s">
        <v>68</v>
      </c>
      <c r="C321" s="11">
        <v>-336.2629642691478</v>
      </c>
      <c r="D321" s="11">
        <v>-12.185413126707752</v>
      </c>
      <c r="E321" s="11">
        <v>215.49855641054407</v>
      </c>
      <c r="F321" s="11">
        <v>66.271428240611513</v>
      </c>
    </row>
    <row r="322" spans="1:6" x14ac:dyDescent="0.2">
      <c r="A322" s="7">
        <v>43952</v>
      </c>
      <c r="B322" s="6" t="s">
        <v>68</v>
      </c>
      <c r="C322" s="11">
        <v>9.7291035826711223</v>
      </c>
      <c r="D322" s="11">
        <v>140.65313585483332</v>
      </c>
      <c r="E322" s="11">
        <v>14.640594174893561</v>
      </c>
      <c r="F322" s="11">
        <v>47.634942946107003</v>
      </c>
    </row>
    <row r="323" spans="1:6" x14ac:dyDescent="0.2">
      <c r="A323" s="7">
        <v>43983</v>
      </c>
      <c r="B323" s="6" t="s">
        <v>68</v>
      </c>
      <c r="C323" s="11">
        <v>5.4282704023747348</v>
      </c>
      <c r="D323" s="11">
        <v>3.8201320849246954</v>
      </c>
      <c r="E323" s="11">
        <v>127.07350521350533</v>
      </c>
      <c r="F323" s="11">
        <v>95.036783083963996</v>
      </c>
    </row>
    <row r="324" spans="1:6" x14ac:dyDescent="0.2">
      <c r="A324" s="7">
        <v>44013</v>
      </c>
      <c r="B324" s="6" t="s">
        <v>68</v>
      </c>
      <c r="C324" s="11">
        <v>510.76004023709294</v>
      </c>
      <c r="D324" s="11">
        <v>15.89595896668162</v>
      </c>
      <c r="E324" s="11">
        <v>90.84014270900559</v>
      </c>
      <c r="F324" s="11">
        <v>26.928840700349475</v>
      </c>
    </row>
    <row r="325" spans="1:6" x14ac:dyDescent="0.2">
      <c r="A325" s="7">
        <v>44044</v>
      </c>
      <c r="B325" s="6" t="s">
        <v>68</v>
      </c>
      <c r="C325" s="11">
        <v>105.79227921252283</v>
      </c>
      <c r="D325" s="11">
        <v>88.441944646686864</v>
      </c>
      <c r="E325" s="11">
        <v>49.932211932961657</v>
      </c>
      <c r="F325" s="11">
        <v>52.457237317712959</v>
      </c>
    </row>
    <row r="326" spans="1:6" x14ac:dyDescent="0.2">
      <c r="A326" s="7">
        <v>44075</v>
      </c>
      <c r="B326" s="6" t="s">
        <v>68</v>
      </c>
      <c r="C326" s="11">
        <v>47.600843171517823</v>
      </c>
      <c r="D326" s="11">
        <v>5.4941157015844511E-3</v>
      </c>
      <c r="E326" s="11">
        <v>159.98710438351503</v>
      </c>
      <c r="F326" s="11">
        <v>89.835367071151566</v>
      </c>
    </row>
    <row r="327" spans="1:6" x14ac:dyDescent="0.2">
      <c r="A327" s="7">
        <v>44105</v>
      </c>
      <c r="B327" s="6" t="s">
        <v>68</v>
      </c>
      <c r="C327" s="11">
        <v>2.4051304849386237E-2</v>
      </c>
      <c r="D327" s="11">
        <v>48.77081428854364</v>
      </c>
      <c r="E327" s="11">
        <v>244.80172360469408</v>
      </c>
      <c r="F327" s="11">
        <v>70.076714132950286</v>
      </c>
    </row>
    <row r="328" spans="1:6" x14ac:dyDescent="0.2">
      <c r="A328" s="7">
        <v>44136</v>
      </c>
      <c r="B328" s="6" t="s">
        <v>68</v>
      </c>
      <c r="C328" s="11">
        <v>-57.53838443705601</v>
      </c>
      <c r="D328" s="11">
        <v>0.21809248141809143</v>
      </c>
      <c r="E328" s="11">
        <v>365.29271714342661</v>
      </c>
      <c r="F328" s="11">
        <v>96.543733629556769</v>
      </c>
    </row>
    <row r="329" spans="1:6" x14ac:dyDescent="0.2">
      <c r="A329" s="7">
        <v>44166</v>
      </c>
      <c r="B329" s="6" t="s">
        <v>68</v>
      </c>
      <c r="C329" s="11">
        <v>26.835068159149888</v>
      </c>
      <c r="D329" s="11">
        <v>88.627690675723954</v>
      </c>
      <c r="E329" s="11">
        <v>39.326049997614476</v>
      </c>
      <c r="F329" s="11">
        <v>16.091251715646283</v>
      </c>
    </row>
    <row r="330" spans="1:6" x14ac:dyDescent="0.2">
      <c r="A330" s="7">
        <v>44197</v>
      </c>
      <c r="B330" s="6" t="s">
        <v>68</v>
      </c>
      <c r="C330" s="11">
        <v>1571.1116099778264</v>
      </c>
      <c r="D330" s="11">
        <v>55.568240204099347</v>
      </c>
      <c r="E330" s="11">
        <v>47.816187140721574</v>
      </c>
      <c r="F330" s="11">
        <v>40.914556175531494</v>
      </c>
    </row>
    <row r="331" spans="1:6" x14ac:dyDescent="0.2">
      <c r="A331" s="7">
        <v>44228</v>
      </c>
      <c r="B331" s="6" t="s">
        <v>68</v>
      </c>
      <c r="C331" s="11">
        <v>2983.1883105949082</v>
      </c>
      <c r="D331" s="11">
        <v>47.002135398274461</v>
      </c>
      <c r="E331" s="11">
        <v>269.96394034178513</v>
      </c>
      <c r="F331" s="11">
        <v>49.733738217769776</v>
      </c>
    </row>
    <row r="332" spans="1:6" x14ac:dyDescent="0.2">
      <c r="A332" s="7">
        <v>44256</v>
      </c>
      <c r="B332" s="6" t="s">
        <v>68</v>
      </c>
      <c r="C332" s="11">
        <v>146.96348548921384</v>
      </c>
      <c r="D332" s="11">
        <v>6.318199914028523</v>
      </c>
      <c r="E332" s="11">
        <v>4.8599546712073378</v>
      </c>
      <c r="F332" s="11">
        <v>13.152309811880858</v>
      </c>
    </row>
    <row r="333" spans="1:6" x14ac:dyDescent="0.2">
      <c r="A333" s="7">
        <v>44287</v>
      </c>
      <c r="B333" s="6" t="s">
        <v>68</v>
      </c>
      <c r="C333" s="11">
        <v>20.307284694637762</v>
      </c>
      <c r="D333" s="11">
        <v>16.159074370317065</v>
      </c>
      <c r="E333" s="11">
        <v>252.52659105570652</v>
      </c>
      <c r="F333" s="11">
        <v>21.010087813412593</v>
      </c>
    </row>
    <row r="334" spans="1:6" x14ac:dyDescent="0.2">
      <c r="A334" s="7">
        <v>44317</v>
      </c>
      <c r="B334" s="6" t="s">
        <v>68</v>
      </c>
      <c r="C334" s="11">
        <v>28.74021978192722</v>
      </c>
      <c r="D334" s="11">
        <v>5.1635251654272771</v>
      </c>
      <c r="E334" s="11">
        <v>30.476171075384883</v>
      </c>
      <c r="F334" s="11">
        <v>12.481721764074882</v>
      </c>
    </row>
    <row r="335" spans="1:6" x14ac:dyDescent="0.2">
      <c r="A335" s="7">
        <v>44348</v>
      </c>
      <c r="B335" s="6" t="s">
        <v>68</v>
      </c>
      <c r="C335" s="11">
        <v>-127.48142250555907</v>
      </c>
      <c r="D335" s="11">
        <v>89.025680545603578</v>
      </c>
      <c r="E335" s="11">
        <v>422.55717833356294</v>
      </c>
      <c r="F335" s="11">
        <v>47.107882008778724</v>
      </c>
    </row>
    <row r="336" spans="1:6" x14ac:dyDescent="0.2">
      <c r="A336" s="7">
        <v>44378</v>
      </c>
      <c r="B336" s="6" t="s">
        <v>68</v>
      </c>
      <c r="C336" s="11">
        <v>283.24500789652939</v>
      </c>
      <c r="D336" s="11">
        <v>91.622858528444425</v>
      </c>
      <c r="E336" s="11">
        <v>150.89456193310491</v>
      </c>
      <c r="F336" s="11">
        <v>19.737814006712263</v>
      </c>
    </row>
    <row r="337" spans="1:6" x14ac:dyDescent="0.2">
      <c r="A337" s="7">
        <v>44409</v>
      </c>
      <c r="B337" s="6" t="s">
        <v>68</v>
      </c>
      <c r="C337" s="11">
        <v>115.39553195703017</v>
      </c>
      <c r="D337" s="11">
        <v>36.461316777869811</v>
      </c>
      <c r="E337" s="11">
        <v>228.5872077083705</v>
      </c>
      <c r="F337" s="11">
        <v>17.47537261125003</v>
      </c>
    </row>
    <row r="338" spans="1:6" x14ac:dyDescent="0.2">
      <c r="A338" s="7">
        <v>44440</v>
      </c>
      <c r="B338" s="6" t="s">
        <v>68</v>
      </c>
      <c r="C338" s="11">
        <v>364.75008284820052</v>
      </c>
      <c r="D338" s="11">
        <v>145.78040227780275</v>
      </c>
      <c r="E338" s="11">
        <v>4.7295407730399699</v>
      </c>
      <c r="F338" s="11">
        <v>38.905951719982234</v>
      </c>
    </row>
    <row r="339" spans="1:6" x14ac:dyDescent="0.2">
      <c r="A339" s="7">
        <v>44470</v>
      </c>
      <c r="B339" s="6" t="s">
        <v>68</v>
      </c>
      <c r="C339" s="11">
        <v>6.8322203382725905E-3</v>
      </c>
      <c r="D339" s="11">
        <v>1.121830758874981E-2</v>
      </c>
      <c r="E339" s="11">
        <v>42.669320833826461</v>
      </c>
      <c r="F339" s="11">
        <v>22.667051401707315</v>
      </c>
    </row>
    <row r="340" spans="1:6" x14ac:dyDescent="0.2">
      <c r="A340" s="7">
        <v>44501</v>
      </c>
      <c r="B340" s="6" t="s">
        <v>68</v>
      </c>
      <c r="C340" s="11">
        <v>-4028.4094112207013</v>
      </c>
      <c r="D340" s="11">
        <v>1.9035049543664018</v>
      </c>
      <c r="E340" s="11">
        <v>143.90353370638442</v>
      </c>
      <c r="F340" s="11">
        <v>77.407445410851665</v>
      </c>
    </row>
    <row r="341" spans="1:6" x14ac:dyDescent="0.2">
      <c r="A341" s="7">
        <v>44531</v>
      </c>
      <c r="B341" s="6" t="s">
        <v>68</v>
      </c>
      <c r="C341" s="11">
        <v>36.158203554209805</v>
      </c>
      <c r="D341" s="11">
        <v>23.361297921749784</v>
      </c>
      <c r="E341" s="11">
        <v>43.571899386025983</v>
      </c>
      <c r="F341" s="11">
        <v>34.331014351805933</v>
      </c>
    </row>
    <row r="342" spans="1:6" x14ac:dyDescent="0.2">
      <c r="A342" s="7">
        <v>44562</v>
      </c>
      <c r="B342" s="6" t="s">
        <v>68</v>
      </c>
      <c r="C342" s="11">
        <v>48.909542262572074</v>
      </c>
      <c r="D342" s="11">
        <v>7.4660593337224022</v>
      </c>
      <c r="E342" s="11">
        <v>189.40156286774453</v>
      </c>
      <c r="F342" s="11">
        <v>67.66355022403846</v>
      </c>
    </row>
    <row r="343" spans="1:6" x14ac:dyDescent="0.2">
      <c r="A343" s="7">
        <v>44593</v>
      </c>
      <c r="B343" s="6" t="s">
        <v>68</v>
      </c>
      <c r="C343" s="11">
        <v>9623.0380183021844</v>
      </c>
      <c r="D343" s="11">
        <v>84.906648848585405</v>
      </c>
      <c r="E343" s="11">
        <v>309.51897569054643</v>
      </c>
      <c r="F343" s="11">
        <v>56.334619992114298</v>
      </c>
    </row>
    <row r="344" spans="1:6" x14ac:dyDescent="0.2">
      <c r="A344" s="7">
        <v>44621</v>
      </c>
      <c r="B344" s="6" t="s">
        <v>68</v>
      </c>
      <c r="C344" s="11">
        <v>497.65136161655784</v>
      </c>
      <c r="D344" s="11">
        <v>51.214133336871932</v>
      </c>
      <c r="E344" s="11">
        <v>159.69905412234888</v>
      </c>
      <c r="F344" s="11">
        <v>13.026643024618501</v>
      </c>
    </row>
    <row r="345" spans="1:6" x14ac:dyDescent="0.2">
      <c r="A345" s="7">
        <v>44652</v>
      </c>
      <c r="B345" s="6" t="s">
        <v>68</v>
      </c>
      <c r="C345" s="11">
        <v>103.28503076623467</v>
      </c>
      <c r="D345" s="11">
        <v>33.32177794190882</v>
      </c>
      <c r="E345" s="11">
        <v>249.07796565327769</v>
      </c>
      <c r="F345" s="11">
        <v>20.857598262865874</v>
      </c>
    </row>
    <row r="346" spans="1:6" x14ac:dyDescent="0.2">
      <c r="A346" s="7">
        <v>44682</v>
      </c>
      <c r="B346" s="6" t="s">
        <v>68</v>
      </c>
      <c r="C346" s="11">
        <v>13.03498235187803</v>
      </c>
      <c r="D346" s="11">
        <v>11.802298525145044</v>
      </c>
      <c r="E346" s="11">
        <v>264.37342741589561</v>
      </c>
      <c r="F346" s="11">
        <v>18.613638206554917</v>
      </c>
    </row>
    <row r="347" spans="1:6" x14ac:dyDescent="0.2">
      <c r="A347" s="7">
        <v>44713</v>
      </c>
      <c r="B347" s="6" t="s">
        <v>68</v>
      </c>
      <c r="C347" s="11">
        <v>5.9454030437519974</v>
      </c>
      <c r="D347" s="11">
        <v>-6.8172080112913944</v>
      </c>
      <c r="E347" s="11">
        <v>356.24020601074318</v>
      </c>
      <c r="F347" s="11">
        <v>68.186080592604043</v>
      </c>
    </row>
    <row r="348" spans="1:6" x14ac:dyDescent="0.2">
      <c r="A348" s="7">
        <v>44743</v>
      </c>
      <c r="B348" s="6" t="s">
        <v>68</v>
      </c>
      <c r="C348" s="11">
        <v>199.23906579011035</v>
      </c>
      <c r="D348" s="11">
        <v>2.9851278391384017E-3</v>
      </c>
      <c r="E348" s="11">
        <v>127.47358297398694</v>
      </c>
      <c r="F348" s="11">
        <v>95.499551517447244</v>
      </c>
    </row>
    <row r="349" spans="1:6" x14ac:dyDescent="0.2">
      <c r="A349" s="7">
        <v>44774</v>
      </c>
      <c r="B349" s="6" t="s">
        <v>68</v>
      </c>
      <c r="C349" s="11">
        <v>39.41786783512152</v>
      </c>
      <c r="D349" s="11">
        <v>131.73436485430932</v>
      </c>
      <c r="E349" s="11">
        <v>145.09000429512707</v>
      </c>
      <c r="F349" s="11">
        <v>38.394541641362864</v>
      </c>
    </row>
    <row r="350" spans="1:6" x14ac:dyDescent="0.2">
      <c r="A350" s="7">
        <v>44805</v>
      </c>
      <c r="B350" s="6" t="s">
        <v>68</v>
      </c>
      <c r="C350" s="11">
        <v>206.05778843446399</v>
      </c>
      <c r="D350" s="11">
        <v>42.763795515320545</v>
      </c>
      <c r="E350" s="11">
        <v>184.73029663597137</v>
      </c>
      <c r="F350" s="11">
        <v>47.582475451004456</v>
      </c>
    </row>
    <row r="351" spans="1:6" x14ac:dyDescent="0.2">
      <c r="A351" s="7">
        <v>44835</v>
      </c>
      <c r="B351" s="6" t="s">
        <v>68</v>
      </c>
      <c r="C351" s="11">
        <v>75.956339204246447</v>
      </c>
      <c r="D351" s="11">
        <v>5.7302005430892988</v>
      </c>
      <c r="E351" s="11">
        <v>52.596896519198602</v>
      </c>
      <c r="F351" s="11">
        <v>37.57929012043877</v>
      </c>
    </row>
    <row r="352" spans="1:6" x14ac:dyDescent="0.2">
      <c r="A352" s="7">
        <v>44866</v>
      </c>
      <c r="B352" s="6" t="s">
        <v>68</v>
      </c>
      <c r="C352" s="11">
        <v>1.2191135162801063</v>
      </c>
      <c r="D352" s="11">
        <v>114.85440582262146</v>
      </c>
      <c r="E352" s="11">
        <v>29.726595486120495</v>
      </c>
      <c r="F352" s="11">
        <v>10.635400973912802</v>
      </c>
    </row>
    <row r="353" spans="1:6" x14ac:dyDescent="0.2">
      <c r="A353" s="7">
        <v>44896</v>
      </c>
      <c r="B353" s="6" t="s">
        <v>68</v>
      </c>
      <c r="C353" s="11">
        <v>-570.98494432674704</v>
      </c>
      <c r="D353" s="11">
        <v>12.197316690262694</v>
      </c>
      <c r="E353" s="11">
        <v>114.06776052765788</v>
      </c>
      <c r="F353" s="11">
        <v>60.803559584349955</v>
      </c>
    </row>
    <row r="354" spans="1:6" x14ac:dyDescent="0.2">
      <c r="A354" s="7">
        <v>44927</v>
      </c>
      <c r="B354" s="6" t="s">
        <v>68</v>
      </c>
      <c r="C354" s="11">
        <v>76.912891412491831</v>
      </c>
      <c r="D354" s="11">
        <v>61.401363771143622</v>
      </c>
      <c r="E354" s="11">
        <v>57.323222456128029</v>
      </c>
      <c r="F354" s="11">
        <v>46.750881563651077</v>
      </c>
    </row>
    <row r="355" spans="1:6" x14ac:dyDescent="0.2">
      <c r="A355" s="7">
        <v>44958</v>
      </c>
      <c r="B355" s="6" t="s">
        <v>68</v>
      </c>
      <c r="C355" s="11">
        <v>8.9561130223225263</v>
      </c>
      <c r="D355" s="11">
        <v>25.629011376809601</v>
      </c>
      <c r="E355" s="11">
        <v>155.04587518565256</v>
      </c>
      <c r="F355" s="11">
        <v>39.079179719000798</v>
      </c>
    </row>
    <row r="356" spans="1:6" x14ac:dyDescent="0.2">
      <c r="A356" s="7">
        <v>44986</v>
      </c>
      <c r="B356" s="6" t="s">
        <v>68</v>
      </c>
      <c r="C356" s="11">
        <v>1728.3541829657445</v>
      </c>
      <c r="D356" s="11">
        <v>22.843460364536888</v>
      </c>
      <c r="E356" s="11">
        <v>156.18273881863399</v>
      </c>
      <c r="F356" s="11">
        <v>57.599004178100245</v>
      </c>
    </row>
    <row r="357" spans="1:6" x14ac:dyDescent="0.2">
      <c r="A357" s="7">
        <v>45017</v>
      </c>
      <c r="B357" s="6" t="s">
        <v>68</v>
      </c>
      <c r="C357" s="11">
        <v>240.79023531264801</v>
      </c>
      <c r="D357" s="11">
        <v>87.257609092887279</v>
      </c>
      <c r="E357" s="11">
        <v>74.136228417964105</v>
      </c>
      <c r="F357" s="11">
        <v>36.171889825976692</v>
      </c>
    </row>
    <row r="358" spans="1:6" x14ac:dyDescent="0.2">
      <c r="A358" s="7">
        <v>45047</v>
      </c>
      <c r="B358" s="6" t="s">
        <v>68</v>
      </c>
      <c r="C358" s="11">
        <v>124.62393315151525</v>
      </c>
      <c r="D358" s="11">
        <v>197.84370290348832</v>
      </c>
      <c r="E358" s="11">
        <v>176.20224702904596</v>
      </c>
      <c r="F358" s="11">
        <v>32.661949686350752</v>
      </c>
    </row>
    <row r="359" spans="1:6" x14ac:dyDescent="0.2">
      <c r="A359" s="7">
        <v>45078</v>
      </c>
      <c r="B359" s="6" t="s">
        <v>68</v>
      </c>
      <c r="C359" s="11">
        <v>16.792480861971729</v>
      </c>
      <c r="D359" s="11">
        <v>-208.37881247835693</v>
      </c>
      <c r="E359" s="11">
        <v>119.3732293366416</v>
      </c>
      <c r="F359" s="11">
        <v>83.262383548609364</v>
      </c>
    </row>
    <row r="360" spans="1:6" x14ac:dyDescent="0.2">
      <c r="A360" s="7">
        <v>45108</v>
      </c>
      <c r="B360" s="6" t="s">
        <v>68</v>
      </c>
      <c r="C360" s="11">
        <v>-8858.3919391995732</v>
      </c>
      <c r="D360" s="11">
        <v>-134.36280101805227</v>
      </c>
      <c r="E360" s="11">
        <v>-17.892501393546922</v>
      </c>
      <c r="F360" s="11">
        <v>28.281258998433323</v>
      </c>
    </row>
    <row r="361" spans="1:6" x14ac:dyDescent="0.2">
      <c r="A361" s="7">
        <v>45139</v>
      </c>
      <c r="B361" s="6" t="s">
        <v>68</v>
      </c>
      <c r="C361" s="11">
        <v>2.9206201476357899E-2</v>
      </c>
      <c r="D361" s="11">
        <v>7.268286504740977E-2</v>
      </c>
      <c r="E361" s="11">
        <v>60.785088278668873</v>
      </c>
      <c r="F361" s="11">
        <v>14.530984180501683</v>
      </c>
    </row>
    <row r="362" spans="1:6" x14ac:dyDescent="0.2">
      <c r="A362" s="7">
        <v>45170</v>
      </c>
      <c r="B362" s="6" t="s">
        <v>68</v>
      </c>
      <c r="C362" s="11">
        <v>-1051.7840638403154</v>
      </c>
      <c r="D362" s="11">
        <v>106.42379018354943</v>
      </c>
      <c r="E362" s="11">
        <v>21.298370864564305</v>
      </c>
      <c r="F362" s="11">
        <v>42.795506758514932</v>
      </c>
    </row>
    <row r="363" spans="1:6" x14ac:dyDescent="0.2">
      <c r="A363" s="7">
        <v>45200</v>
      </c>
      <c r="B363" s="6" t="s">
        <v>68</v>
      </c>
      <c r="C363" s="11">
        <v>172.37263529927066</v>
      </c>
      <c r="D363" s="11">
        <v>352.27143393503837</v>
      </c>
      <c r="E363" s="11">
        <v>274.81510887084693</v>
      </c>
      <c r="F363" s="11">
        <v>93.54090589669805</v>
      </c>
    </row>
    <row r="364" spans="1:6" x14ac:dyDescent="0.2">
      <c r="A364" s="7">
        <v>45231</v>
      </c>
      <c r="B364" s="6" t="s">
        <v>68</v>
      </c>
      <c r="C364" s="11">
        <v>214.86381015117888</v>
      </c>
      <c r="D364" s="11">
        <v>364.52129506988024</v>
      </c>
      <c r="E364" s="11">
        <v>114.01560743457784</v>
      </c>
      <c r="F364" s="11">
        <v>5.059728379979167</v>
      </c>
    </row>
    <row r="365" spans="1:6" x14ac:dyDescent="0.2">
      <c r="A365" s="7">
        <v>45261</v>
      </c>
      <c r="B365" s="6" t="s">
        <v>68</v>
      </c>
      <c r="C365" s="11">
        <v>529.23659825618199</v>
      </c>
      <c r="D365" s="11">
        <v>4.7895415406811201</v>
      </c>
      <c r="E365" s="11">
        <v>231.45903896784642</v>
      </c>
      <c r="F365" s="11">
        <v>3.4271756700233413</v>
      </c>
    </row>
    <row r="366" spans="1:6" x14ac:dyDescent="0.2">
      <c r="A366" s="7">
        <v>45292</v>
      </c>
      <c r="B366" s="6" t="s">
        <v>68</v>
      </c>
      <c r="C366" s="11">
        <v>845.74351256162925</v>
      </c>
      <c r="D366" s="11">
        <v>44.832522826780398</v>
      </c>
      <c r="E366" s="11">
        <v>38.733718486786437</v>
      </c>
      <c r="F366" s="11">
        <v>20.413024754781194</v>
      </c>
    </row>
    <row r="367" spans="1:6" x14ac:dyDescent="0.2">
      <c r="A367" s="7">
        <v>45323</v>
      </c>
      <c r="B367" s="6" t="s">
        <v>68</v>
      </c>
      <c r="C367" s="11">
        <v>270.87971119244537</v>
      </c>
      <c r="D367" s="11">
        <v>36.282679722009249</v>
      </c>
      <c r="E367" s="11">
        <v>4.7241998130636844</v>
      </c>
      <c r="F367" s="11">
        <v>90.950211914774258</v>
      </c>
    </row>
    <row r="368" spans="1:6" x14ac:dyDescent="0.2">
      <c r="A368" s="7">
        <v>45352</v>
      </c>
      <c r="B368" s="6" t="s">
        <v>68</v>
      </c>
      <c r="C368" s="11">
        <v>143.59616427402838</v>
      </c>
      <c r="D368" s="11">
        <v>51.154009455308291</v>
      </c>
      <c r="E368" s="11">
        <v>151.87235145688433</v>
      </c>
      <c r="F368" s="11">
        <v>45.031063752038527</v>
      </c>
    </row>
    <row r="369" spans="1:6" x14ac:dyDescent="0.2">
      <c r="A369" s="7">
        <v>45383</v>
      </c>
      <c r="B369" s="6" t="s">
        <v>68</v>
      </c>
      <c r="C369" s="11">
        <v>1306.346917624061</v>
      </c>
      <c r="D369" s="11">
        <v>31.659009776751976</v>
      </c>
      <c r="E369" s="11">
        <v>160.98603558443858</v>
      </c>
      <c r="F369" s="11">
        <v>32.380168058801488</v>
      </c>
    </row>
    <row r="370" spans="1:6" x14ac:dyDescent="0.2">
      <c r="A370" s="7">
        <v>45413</v>
      </c>
      <c r="B370" s="6" t="s">
        <v>68</v>
      </c>
      <c r="C370" s="11">
        <v>-1631.7714953765797</v>
      </c>
      <c r="D370" s="11">
        <v>17.668500029202914</v>
      </c>
      <c r="E370" s="11">
        <v>80.693096505287116</v>
      </c>
      <c r="F370" s="11">
        <v>36.90603662763278</v>
      </c>
    </row>
    <row r="371" spans="1:6" x14ac:dyDescent="0.2">
      <c r="A371" s="7">
        <v>45444</v>
      </c>
      <c r="B371" s="6" t="s">
        <v>68</v>
      </c>
      <c r="C371" s="11">
        <v>96.436555885137622</v>
      </c>
      <c r="D371" s="11">
        <v>57.81387542281454</v>
      </c>
      <c r="E371" s="11">
        <v>551.2983550094458</v>
      </c>
      <c r="F371" s="11">
        <v>45.828348990230396</v>
      </c>
    </row>
    <row r="372" spans="1:6" x14ac:dyDescent="0.2">
      <c r="A372" s="7">
        <v>45474</v>
      </c>
      <c r="B372" s="6" t="s">
        <v>68</v>
      </c>
      <c r="C372" s="11">
        <v>92.88500804492196</v>
      </c>
      <c r="D372" s="11">
        <v>1.6925019895106832</v>
      </c>
      <c r="E372" s="11">
        <v>182.94364675491894</v>
      </c>
      <c r="F372" s="11">
        <v>99.556201265930838</v>
      </c>
    </row>
    <row r="373" spans="1:6" x14ac:dyDescent="0.2">
      <c r="A373" s="7">
        <v>45505</v>
      </c>
      <c r="B373" s="6" t="s">
        <v>68</v>
      </c>
      <c r="C373" s="11">
        <v>3001.452076466825</v>
      </c>
      <c r="D373" s="11">
        <v>2.9336970517828425</v>
      </c>
      <c r="E373" s="11">
        <v>475.5711273046449</v>
      </c>
      <c r="F373" s="11">
        <v>18.114802993599099</v>
      </c>
    </row>
    <row r="374" spans="1:6" x14ac:dyDescent="0.2">
      <c r="A374" s="7">
        <v>45536</v>
      </c>
      <c r="B374" s="6" t="s">
        <v>68</v>
      </c>
      <c r="C374" s="11">
        <v>-456.82658634394227</v>
      </c>
      <c r="D374" s="11">
        <v>6.7398388902616642</v>
      </c>
      <c r="E374" s="11">
        <v>-95.0174975799859</v>
      </c>
      <c r="F374" s="11">
        <v>40.21172123226372</v>
      </c>
    </row>
    <row r="375" spans="1:6" x14ac:dyDescent="0.2">
      <c r="A375" s="7">
        <v>45566</v>
      </c>
      <c r="B375" s="6" t="s">
        <v>68</v>
      </c>
      <c r="C375" s="11">
        <v>168.34589549954728</v>
      </c>
      <c r="D375" s="11">
        <v>29.148994447976925</v>
      </c>
      <c r="E375" s="11">
        <v>56.25814262465645</v>
      </c>
      <c r="F375" s="11">
        <v>3.1021692482043117</v>
      </c>
    </row>
    <row r="376" spans="1:6" x14ac:dyDescent="0.2">
      <c r="A376" s="7">
        <v>45597</v>
      </c>
      <c r="B376" s="6" t="s">
        <v>68</v>
      </c>
      <c r="C376" s="11">
        <v>79.550992474041578</v>
      </c>
      <c r="D376" s="11">
        <v>11.899293364569944</v>
      </c>
      <c r="E376" s="11">
        <v>111.40349250609444</v>
      </c>
      <c r="F376" s="11">
        <v>58.147198913044171</v>
      </c>
    </row>
    <row r="377" spans="1:6" x14ac:dyDescent="0.2">
      <c r="A377" s="7">
        <v>45627</v>
      </c>
      <c r="B377" s="6" t="s">
        <v>68</v>
      </c>
      <c r="C377" s="11">
        <v>4242.3128880933691</v>
      </c>
      <c r="D377" s="11">
        <v>0.89080087121660889</v>
      </c>
      <c r="E377" s="11">
        <v>521.60405947243771</v>
      </c>
      <c r="F377" s="11">
        <v>4.9283158063873067E-2</v>
      </c>
    </row>
    <row r="378" spans="1:6" x14ac:dyDescent="0.2">
      <c r="A378" s="7">
        <v>45658</v>
      </c>
      <c r="B378" s="6" t="s">
        <v>68</v>
      </c>
      <c r="C378" s="11">
        <v>1.8557840289212046E-2</v>
      </c>
      <c r="D378" s="11">
        <v>48.793008844119363</v>
      </c>
      <c r="E378" s="11">
        <v>82.127808527529766</v>
      </c>
      <c r="F378" s="11">
        <v>69.056619593374037</v>
      </c>
    </row>
    <row r="379" spans="1:6" x14ac:dyDescent="0.2">
      <c r="A379" s="7">
        <v>45689</v>
      </c>
      <c r="B379" s="6" t="s">
        <v>68</v>
      </c>
      <c r="C379" s="11">
        <v>1921.4661997072244</v>
      </c>
      <c r="D379" s="11">
        <v>-10.726001292844554</v>
      </c>
      <c r="E379" s="11">
        <v>62.960372972222736</v>
      </c>
      <c r="F379" s="11">
        <v>17.27232223889321</v>
      </c>
    </row>
    <row r="380" spans="1:6" x14ac:dyDescent="0.2">
      <c r="A380" s="7">
        <v>45717</v>
      </c>
      <c r="B380" s="6" t="s">
        <v>68</v>
      </c>
      <c r="C380" s="11">
        <v>48.160547796854352</v>
      </c>
      <c r="D380" s="11">
        <v>68.843698500234737</v>
      </c>
      <c r="E380" s="11">
        <v>52.436246120367315</v>
      </c>
      <c r="F380" s="11">
        <v>83.952005718990407</v>
      </c>
    </row>
    <row r="381" spans="1:6" x14ac:dyDescent="0.2">
      <c r="A381" s="7">
        <v>45748</v>
      </c>
      <c r="B381" s="6" t="s">
        <v>68</v>
      </c>
      <c r="C381" s="11">
        <v>106.40441142923471</v>
      </c>
      <c r="D381" s="11">
        <v>17.705051306662853</v>
      </c>
      <c r="E381" s="11">
        <v>230.24270576403379</v>
      </c>
      <c r="F381" s="11">
        <v>79.720672618043537</v>
      </c>
    </row>
    <row r="382" spans="1:6" x14ac:dyDescent="0.2">
      <c r="A382" s="7">
        <v>45778</v>
      </c>
      <c r="B382" s="6" t="s">
        <v>68</v>
      </c>
      <c r="C382" s="11">
        <v>1122.2459236878149</v>
      </c>
      <c r="D382" s="11">
        <v>55.079518343331593</v>
      </c>
      <c r="E382" s="11">
        <v>184.08945033235642</v>
      </c>
      <c r="F382" s="11">
        <v>38.582208443497379</v>
      </c>
    </row>
    <row r="383" spans="1:6" x14ac:dyDescent="0.2">
      <c r="A383" s="7">
        <v>45809</v>
      </c>
      <c r="B383" s="6" t="s">
        <v>68</v>
      </c>
      <c r="C383" s="11">
        <v>484.2492181042698</v>
      </c>
      <c r="D383" s="11">
        <v>7.3971477655387233E-3</v>
      </c>
      <c r="E383" s="11">
        <v>126.96388126900499</v>
      </c>
      <c r="F383" s="11">
        <v>34.299693612746552</v>
      </c>
    </row>
    <row r="384" spans="1:6" x14ac:dyDescent="0.2">
      <c r="A384" s="7">
        <v>45839</v>
      </c>
      <c r="B384" s="6" t="s">
        <v>68</v>
      </c>
      <c r="C384" s="11">
        <v>189.92165730874524</v>
      </c>
      <c r="D384" s="11">
        <v>1.9621727458207985</v>
      </c>
      <c r="E384" s="11">
        <v>375.04473053011185</v>
      </c>
      <c r="F384" s="11">
        <v>70.326016271204423</v>
      </c>
    </row>
    <row r="385" spans="1:6" x14ac:dyDescent="0.2">
      <c r="A385" s="7">
        <v>45870</v>
      </c>
      <c r="B385" s="6" t="s">
        <v>68</v>
      </c>
      <c r="C385" s="11">
        <v>134.99861669663585</v>
      </c>
      <c r="D385" s="11">
        <v>79.750540829450784</v>
      </c>
      <c r="E385" s="11">
        <v>454.50121966142024</v>
      </c>
      <c r="F385" s="11">
        <v>70.25072361251766</v>
      </c>
    </row>
    <row r="386" spans="1:6" x14ac:dyDescent="0.2">
      <c r="A386" s="7">
        <v>45901</v>
      </c>
      <c r="B386" s="6" t="s">
        <v>68</v>
      </c>
      <c r="C386" s="11">
        <v>2148.8982455978953</v>
      </c>
      <c r="D386" s="11">
        <v>4.9231934704150424</v>
      </c>
      <c r="E386" s="11">
        <v>168.72750372517473</v>
      </c>
      <c r="F386" s="11">
        <v>30.322284027383695</v>
      </c>
    </row>
    <row r="387" spans="1:6" x14ac:dyDescent="0.2">
      <c r="A387" s="7">
        <v>45931</v>
      </c>
      <c r="B387" s="6" t="s">
        <v>68</v>
      </c>
      <c r="C387" s="11">
        <v>-1067.344579873238</v>
      </c>
      <c r="D387" s="11">
        <v>26.428057826274806</v>
      </c>
      <c r="E387" s="11">
        <v>7.9192519676671198</v>
      </c>
      <c r="F387" s="11">
        <v>38.383238842697665</v>
      </c>
    </row>
    <row r="388" spans="1:6" x14ac:dyDescent="0.2">
      <c r="A388" s="7">
        <v>45962</v>
      </c>
      <c r="B388" s="6" t="s">
        <v>68</v>
      </c>
      <c r="C388" s="11">
        <v>220.18914439092362</v>
      </c>
      <c r="D388" s="11">
        <v>11.636150113119445</v>
      </c>
      <c r="E388" s="11">
        <v>-2.8238261964911753</v>
      </c>
      <c r="F388" s="11">
        <v>6.7377408293677892</v>
      </c>
    </row>
    <row r="389" spans="1:6" x14ac:dyDescent="0.2">
      <c r="A389" s="7">
        <v>45992</v>
      </c>
      <c r="B389" s="6" t="s">
        <v>68</v>
      </c>
      <c r="C389" s="11">
        <v>125.68203293843018</v>
      </c>
      <c r="D389" s="11">
        <v>78.60437999013736</v>
      </c>
      <c r="E389" s="11">
        <v>75.416960231852926</v>
      </c>
      <c r="F389" s="11">
        <v>87.139578075189988</v>
      </c>
    </row>
    <row r="390" spans="1:6" x14ac:dyDescent="0.2">
      <c r="A390" s="7">
        <v>46023</v>
      </c>
      <c r="B390" s="6" t="s">
        <v>68</v>
      </c>
      <c r="C390" s="11">
        <v>5.5582617503685391E-3</v>
      </c>
      <c r="D390" s="11">
        <v>1.7138082968893232E-2</v>
      </c>
      <c r="E390" s="11">
        <v>34.848493171835308</v>
      </c>
      <c r="F390" s="11">
        <v>12.049120201352503</v>
      </c>
    </row>
    <row r="391" spans="1:6" x14ac:dyDescent="0.2">
      <c r="A391" s="7">
        <v>46082</v>
      </c>
      <c r="B391" s="6" t="s">
        <v>68</v>
      </c>
      <c r="C391" s="11">
        <v>-301.13896082923384</v>
      </c>
      <c r="D391" s="11">
        <v>12.601384003341973</v>
      </c>
      <c r="E391" s="11">
        <v>126.96388126900499</v>
      </c>
      <c r="F391" s="11">
        <v>87.139578075189988</v>
      </c>
    </row>
    <row r="392" spans="1:6" x14ac:dyDescent="0.2">
      <c r="A392" s="7">
        <v>46113</v>
      </c>
      <c r="B392" s="6" t="s">
        <v>68</v>
      </c>
      <c r="C392" s="11">
        <v>5.2655781406435445</v>
      </c>
      <c r="D392" s="11">
        <v>47.13426906008111</v>
      </c>
      <c r="E392" s="11">
        <v>375.04473053011185</v>
      </c>
      <c r="F392" s="11">
        <v>12.049120201352503</v>
      </c>
    </row>
  </sheetData>
  <autoFilter ref="A1:F206" xr:uid="{2D92E789-A8AB-6D41-9D84-22FB660A2305}"/>
  <sortState xmlns:xlrd2="http://schemas.microsoft.com/office/spreadsheetml/2017/richdata2" ref="A2:F151">
    <sortCondition ref="A1:A15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8650-4F0C-534B-824B-36A07704B18C}">
  <sheetPr>
    <tabColor theme="9"/>
  </sheetPr>
  <dimension ref="A1:G148"/>
  <sheetViews>
    <sheetView topLeftCell="A127" workbookViewId="0">
      <selection activeCell="G148" sqref="G148"/>
    </sheetView>
  </sheetViews>
  <sheetFormatPr baseColWidth="10" defaultColWidth="11" defaultRowHeight="16" x14ac:dyDescent="0.2"/>
  <cols>
    <col min="1" max="1" width="11" style="6"/>
    <col min="2" max="2" width="12.33203125" style="6" bestFit="1" customWidth="1"/>
    <col min="3" max="3" width="18.6640625" style="4" bestFit="1" customWidth="1"/>
    <col min="4" max="4" width="14.6640625" style="13" bestFit="1" customWidth="1"/>
    <col min="5" max="5" width="15.5" style="4" bestFit="1" customWidth="1"/>
    <col min="6" max="6" width="15.5" style="5" customWidth="1"/>
    <col min="7" max="7" width="11" style="8"/>
  </cols>
  <sheetData>
    <row r="1" spans="1:7" x14ac:dyDescent="0.2">
      <c r="A1" s="6" t="s">
        <v>0</v>
      </c>
      <c r="B1" s="6" t="s">
        <v>11</v>
      </c>
      <c r="C1" s="4" t="s">
        <v>12</v>
      </c>
      <c r="D1" s="13" t="s">
        <v>13</v>
      </c>
      <c r="E1" s="4" t="s">
        <v>14</v>
      </c>
      <c r="F1" s="5" t="s">
        <v>15</v>
      </c>
      <c r="G1" s="8" t="s">
        <v>16</v>
      </c>
    </row>
    <row r="2" spans="1:7" x14ac:dyDescent="0.2">
      <c r="A2" s="7">
        <v>43831</v>
      </c>
      <c r="B2" s="7" t="s">
        <v>78</v>
      </c>
      <c r="C2" s="4">
        <v>2.8396065388557994</v>
      </c>
      <c r="D2" s="13">
        <f>C2-E2</f>
        <v>2.8396065388557994</v>
      </c>
      <c r="E2" s="11"/>
      <c r="F2" s="5">
        <v>1000</v>
      </c>
      <c r="G2" s="8">
        <v>1</v>
      </c>
    </row>
    <row r="3" spans="1:7" x14ac:dyDescent="0.2">
      <c r="A3" s="7">
        <v>43862</v>
      </c>
      <c r="B3" s="7" t="s">
        <v>78</v>
      </c>
      <c r="C3" s="4">
        <v>98.336565867172865</v>
      </c>
      <c r="D3" s="13">
        <f t="shared" ref="D3:D66" si="0">C3-E3</f>
        <v>98.336565867172865</v>
      </c>
      <c r="F3" s="5">
        <v>1000</v>
      </c>
      <c r="G3" s="8">
        <v>1</v>
      </c>
    </row>
    <row r="4" spans="1:7" x14ac:dyDescent="0.2">
      <c r="A4" s="7">
        <v>43891</v>
      </c>
      <c r="B4" s="7" t="s">
        <v>78</v>
      </c>
      <c r="C4" s="4">
        <v>54.129111649964521</v>
      </c>
      <c r="D4" s="13">
        <f t="shared" si="0"/>
        <v>54.129111649964521</v>
      </c>
      <c r="F4" s="5">
        <v>1000</v>
      </c>
      <c r="G4" s="8">
        <v>1</v>
      </c>
    </row>
    <row r="5" spans="1:7" x14ac:dyDescent="0.2">
      <c r="A5" s="7">
        <v>43922</v>
      </c>
      <c r="B5" s="7" t="s">
        <v>78</v>
      </c>
      <c r="C5" s="4">
        <v>38.501781824240268</v>
      </c>
      <c r="D5" s="13">
        <f t="shared" si="0"/>
        <v>38.501781824240268</v>
      </c>
      <c r="F5" s="5">
        <v>1000</v>
      </c>
      <c r="G5" s="8">
        <v>1</v>
      </c>
    </row>
    <row r="6" spans="1:7" x14ac:dyDescent="0.2">
      <c r="A6" s="7">
        <v>43952</v>
      </c>
      <c r="B6" s="7" t="s">
        <v>78</v>
      </c>
      <c r="C6" s="4">
        <v>39.174414610242643</v>
      </c>
      <c r="D6" s="13">
        <f t="shared" si="0"/>
        <v>39.174414610242643</v>
      </c>
      <c r="F6" s="5">
        <v>1000</v>
      </c>
      <c r="G6" s="8">
        <v>1</v>
      </c>
    </row>
    <row r="7" spans="1:7" x14ac:dyDescent="0.2">
      <c r="A7" s="7">
        <v>43983</v>
      </c>
      <c r="B7" s="7" t="s">
        <v>78</v>
      </c>
      <c r="C7" s="4">
        <v>33.419797555024054</v>
      </c>
      <c r="D7" s="13">
        <f t="shared" si="0"/>
        <v>33.419797555024054</v>
      </c>
      <c r="F7" s="5">
        <v>1000</v>
      </c>
      <c r="G7" s="8">
        <v>1</v>
      </c>
    </row>
    <row r="8" spans="1:7" x14ac:dyDescent="0.2">
      <c r="A8" s="7">
        <v>44013</v>
      </c>
      <c r="B8" s="7" t="s">
        <v>78</v>
      </c>
      <c r="C8" s="4">
        <v>51.757374683468406</v>
      </c>
      <c r="D8" s="13">
        <f t="shared" si="0"/>
        <v>51.757374683468406</v>
      </c>
      <c r="F8" s="5">
        <v>1000</v>
      </c>
      <c r="G8" s="8">
        <v>1</v>
      </c>
    </row>
    <row r="9" spans="1:7" x14ac:dyDescent="0.2">
      <c r="A9" s="7">
        <v>44044</v>
      </c>
      <c r="B9" s="7" t="s">
        <v>78</v>
      </c>
      <c r="C9" s="4">
        <v>19.671833936906967</v>
      </c>
      <c r="D9" s="13">
        <f t="shared" si="0"/>
        <v>19.671833936906967</v>
      </c>
      <c r="F9" s="5">
        <v>2000</v>
      </c>
      <c r="G9" s="8">
        <v>1</v>
      </c>
    </row>
    <row r="10" spans="1:7" x14ac:dyDescent="0.2">
      <c r="A10" s="7">
        <v>44075</v>
      </c>
      <c r="B10" s="7" t="s">
        <v>78</v>
      </c>
      <c r="C10" s="4">
        <v>32.009654207712821</v>
      </c>
      <c r="D10" s="13">
        <f t="shared" si="0"/>
        <v>32.009654207712821</v>
      </c>
      <c r="F10" s="5">
        <v>2000</v>
      </c>
      <c r="G10" s="8">
        <v>1</v>
      </c>
    </row>
    <row r="11" spans="1:7" x14ac:dyDescent="0.2">
      <c r="A11" s="7">
        <v>44105</v>
      </c>
      <c r="B11" s="7" t="s">
        <v>78</v>
      </c>
      <c r="C11" s="4">
        <v>56.820957789198069</v>
      </c>
      <c r="D11" s="13">
        <f t="shared" si="0"/>
        <v>56.820957789198069</v>
      </c>
      <c r="F11" s="5">
        <v>2000</v>
      </c>
      <c r="G11" s="8">
        <v>1</v>
      </c>
    </row>
    <row r="12" spans="1:7" x14ac:dyDescent="0.2">
      <c r="A12" s="7">
        <v>44136</v>
      </c>
      <c r="B12" s="7" t="s">
        <v>78</v>
      </c>
      <c r="C12" s="4">
        <v>141.59755170006181</v>
      </c>
      <c r="D12" s="13">
        <f t="shared" si="0"/>
        <v>141.59755170006181</v>
      </c>
      <c r="F12" s="5">
        <v>2000</v>
      </c>
      <c r="G12" s="8">
        <v>1</v>
      </c>
    </row>
    <row r="13" spans="1:7" x14ac:dyDescent="0.2">
      <c r="A13" s="7">
        <v>44166</v>
      </c>
      <c r="B13" s="7" t="s">
        <v>78</v>
      </c>
      <c r="C13" s="4">
        <v>9.801963865577255</v>
      </c>
      <c r="D13" s="13">
        <f t="shared" si="0"/>
        <v>9.801963865577255</v>
      </c>
      <c r="F13" s="5">
        <v>2000</v>
      </c>
      <c r="G13" s="8">
        <v>1</v>
      </c>
    </row>
    <row r="14" spans="1:7" x14ac:dyDescent="0.2">
      <c r="A14" s="7">
        <v>44197</v>
      </c>
      <c r="B14" s="7" t="s">
        <v>78</v>
      </c>
      <c r="C14" s="4">
        <v>19.451941764727319</v>
      </c>
      <c r="D14" s="13">
        <f t="shared" si="0"/>
        <v>19.451941764727319</v>
      </c>
      <c r="F14" s="5">
        <v>2000</v>
      </c>
      <c r="G14" s="8">
        <v>1</v>
      </c>
    </row>
    <row r="15" spans="1:7" x14ac:dyDescent="0.2">
      <c r="A15" s="7">
        <v>44228</v>
      </c>
      <c r="B15" s="7" t="s">
        <v>78</v>
      </c>
      <c r="C15" s="4">
        <v>55.693567718828696</v>
      </c>
      <c r="D15" s="13">
        <f t="shared" si="0"/>
        <v>55.693567718828696</v>
      </c>
      <c r="F15" s="5">
        <v>2000</v>
      </c>
      <c r="G15" s="8">
        <v>1</v>
      </c>
    </row>
    <row r="16" spans="1:7" x14ac:dyDescent="0.2">
      <c r="A16" s="7">
        <v>44256</v>
      </c>
      <c r="B16" s="7" t="s">
        <v>78</v>
      </c>
      <c r="C16" s="4">
        <v>24.757339959588933</v>
      </c>
      <c r="D16" s="13">
        <f t="shared" si="0"/>
        <v>24.757339959588933</v>
      </c>
      <c r="F16" s="5">
        <v>3000</v>
      </c>
      <c r="G16" s="8">
        <v>1</v>
      </c>
    </row>
    <row r="17" spans="1:7" x14ac:dyDescent="0.2">
      <c r="A17" s="7">
        <v>44287</v>
      </c>
      <c r="B17" s="7" t="s">
        <v>78</v>
      </c>
      <c r="C17" s="4">
        <v>45.564277068847112</v>
      </c>
      <c r="D17" s="13">
        <f t="shared" si="0"/>
        <v>45.564277068847112</v>
      </c>
      <c r="F17" s="5">
        <v>3000</v>
      </c>
      <c r="G17" s="8">
        <v>1</v>
      </c>
    </row>
    <row r="18" spans="1:7" x14ac:dyDescent="0.2">
      <c r="A18" s="7">
        <v>44317</v>
      </c>
      <c r="B18" s="7" t="s">
        <v>78</v>
      </c>
      <c r="C18" s="4">
        <v>22.063392755563903</v>
      </c>
      <c r="D18" s="13">
        <f t="shared" si="0"/>
        <v>22.063392755563903</v>
      </c>
      <c r="F18" s="5">
        <v>3000</v>
      </c>
      <c r="G18" s="8">
        <v>1</v>
      </c>
    </row>
    <row r="19" spans="1:7" x14ac:dyDescent="0.2">
      <c r="A19" s="7">
        <v>44348</v>
      </c>
      <c r="B19" s="7" t="s">
        <v>78</v>
      </c>
      <c r="C19" s="4">
        <v>25.370911438240665</v>
      </c>
      <c r="D19" s="13">
        <f t="shared" si="0"/>
        <v>25.370911438240665</v>
      </c>
      <c r="F19" s="5">
        <v>3000</v>
      </c>
      <c r="G19" s="8">
        <v>1</v>
      </c>
    </row>
    <row r="20" spans="1:7" x14ac:dyDescent="0.2">
      <c r="A20" s="7">
        <v>44378</v>
      </c>
      <c r="B20" s="7" t="s">
        <v>78</v>
      </c>
      <c r="C20" s="4">
        <v>4.1999013206730575</v>
      </c>
      <c r="D20" s="13">
        <f t="shared" si="0"/>
        <v>4.1999013206730575</v>
      </c>
      <c r="F20" s="5">
        <v>3000</v>
      </c>
      <c r="G20" s="8">
        <v>1</v>
      </c>
    </row>
    <row r="21" spans="1:7" x14ac:dyDescent="0.2">
      <c r="A21" s="7">
        <v>44409</v>
      </c>
      <c r="B21" s="7" t="s">
        <v>78</v>
      </c>
      <c r="C21" s="4">
        <v>6.7524577400065144</v>
      </c>
      <c r="D21" s="13">
        <f t="shared" si="0"/>
        <v>6.7524577400065144</v>
      </c>
      <c r="F21" s="5">
        <v>3000</v>
      </c>
      <c r="G21" s="8">
        <v>1</v>
      </c>
    </row>
    <row r="22" spans="1:7" x14ac:dyDescent="0.2">
      <c r="A22" s="7">
        <v>44440</v>
      </c>
      <c r="B22" s="7" t="s">
        <v>78</v>
      </c>
      <c r="C22" s="4">
        <v>14.110412156531526</v>
      </c>
      <c r="D22" s="13">
        <f t="shared" si="0"/>
        <v>14.110412156531526</v>
      </c>
      <c r="F22" s="5">
        <v>3000</v>
      </c>
      <c r="G22" s="8">
        <v>1</v>
      </c>
    </row>
    <row r="23" spans="1:7" x14ac:dyDescent="0.2">
      <c r="A23" s="7">
        <v>44470</v>
      </c>
      <c r="B23" s="7" t="s">
        <v>78</v>
      </c>
      <c r="C23" s="4">
        <v>21.927821201451792</v>
      </c>
      <c r="D23" s="13">
        <f t="shared" si="0"/>
        <v>21.927821201451792</v>
      </c>
      <c r="F23" s="5">
        <v>4000</v>
      </c>
      <c r="G23" s="8">
        <v>1</v>
      </c>
    </row>
    <row r="24" spans="1:7" x14ac:dyDescent="0.2">
      <c r="A24" s="7">
        <v>44501</v>
      </c>
      <c r="B24" s="7" t="s">
        <v>78</v>
      </c>
      <c r="C24" s="4">
        <v>122.65406058395754</v>
      </c>
      <c r="D24" s="13">
        <f t="shared" si="0"/>
        <v>122.65406058395754</v>
      </c>
      <c r="F24" s="5">
        <v>4000</v>
      </c>
      <c r="G24" s="8">
        <v>1</v>
      </c>
    </row>
    <row r="25" spans="1:7" x14ac:dyDescent="0.2">
      <c r="A25" s="7">
        <v>44531</v>
      </c>
      <c r="B25" s="7" t="s">
        <v>78</v>
      </c>
      <c r="C25" s="4">
        <v>51.008154972780133</v>
      </c>
      <c r="D25" s="13">
        <f t="shared" si="0"/>
        <v>51.008154972780133</v>
      </c>
      <c r="F25" s="5">
        <v>4000</v>
      </c>
      <c r="G25" s="8">
        <v>1</v>
      </c>
    </row>
    <row r="26" spans="1:7" x14ac:dyDescent="0.2">
      <c r="A26" s="7">
        <v>44562</v>
      </c>
      <c r="B26" s="7" t="s">
        <v>78</v>
      </c>
      <c r="C26" s="4">
        <v>54.77211708067972</v>
      </c>
      <c r="D26" s="13">
        <f t="shared" si="0"/>
        <v>54.77211708067972</v>
      </c>
      <c r="F26" s="5">
        <v>4000</v>
      </c>
      <c r="G26" s="8">
        <v>1</v>
      </c>
    </row>
    <row r="27" spans="1:7" x14ac:dyDescent="0.2">
      <c r="A27" s="7">
        <v>44593</v>
      </c>
      <c r="B27" s="7" t="s">
        <v>78</v>
      </c>
      <c r="C27" s="4">
        <v>24.22114050053602</v>
      </c>
      <c r="D27" s="13">
        <f t="shared" si="0"/>
        <v>24.22114050053602</v>
      </c>
      <c r="F27" s="5">
        <v>4000</v>
      </c>
      <c r="G27" s="8">
        <v>1</v>
      </c>
    </row>
    <row r="28" spans="1:7" x14ac:dyDescent="0.2">
      <c r="A28" s="7">
        <v>44621</v>
      </c>
      <c r="B28" s="7" t="s">
        <v>78</v>
      </c>
      <c r="C28" s="4">
        <v>19.511692162740367</v>
      </c>
      <c r="D28" s="13">
        <f t="shared" si="0"/>
        <v>19.511692162740367</v>
      </c>
      <c r="F28" s="5">
        <v>4000</v>
      </c>
      <c r="G28" s="8">
        <v>1</v>
      </c>
    </row>
    <row r="29" spans="1:7" x14ac:dyDescent="0.2">
      <c r="A29" s="7">
        <v>44652</v>
      </c>
      <c r="B29" s="7" t="s">
        <v>78</v>
      </c>
      <c r="C29" s="4">
        <v>116.29825979780144</v>
      </c>
      <c r="D29" s="13">
        <f t="shared" si="0"/>
        <v>116.29825979780144</v>
      </c>
      <c r="F29" s="5">
        <v>4000</v>
      </c>
      <c r="G29" s="8">
        <v>1</v>
      </c>
    </row>
    <row r="30" spans="1:7" x14ac:dyDescent="0.2">
      <c r="A30" s="7">
        <v>44682</v>
      </c>
      <c r="B30" s="7" t="s">
        <v>78</v>
      </c>
      <c r="C30" s="4">
        <v>11.363379755423797</v>
      </c>
      <c r="D30" s="13">
        <f t="shared" si="0"/>
        <v>11.363379755423797</v>
      </c>
      <c r="F30" s="5">
        <v>5000</v>
      </c>
      <c r="G30" s="8">
        <v>1</v>
      </c>
    </row>
    <row r="31" spans="1:7" x14ac:dyDescent="0.2">
      <c r="A31" s="7">
        <v>44713</v>
      </c>
      <c r="B31" s="7" t="s">
        <v>78</v>
      </c>
      <c r="C31" s="4">
        <v>32.07659469483422</v>
      </c>
      <c r="D31" s="13">
        <f t="shared" si="0"/>
        <v>32.07659469483422</v>
      </c>
      <c r="F31" s="5">
        <v>5000</v>
      </c>
      <c r="G31" s="8">
        <v>1</v>
      </c>
    </row>
    <row r="32" spans="1:7" x14ac:dyDescent="0.2">
      <c r="A32" s="7">
        <v>44743</v>
      </c>
      <c r="B32" s="7" t="s">
        <v>78</v>
      </c>
      <c r="C32" s="4">
        <v>189.7019055505389</v>
      </c>
      <c r="D32" s="13">
        <f t="shared" si="0"/>
        <v>189.7019055505389</v>
      </c>
      <c r="F32" s="5">
        <v>5000</v>
      </c>
      <c r="G32" s="8">
        <v>1</v>
      </c>
    </row>
    <row r="33" spans="1:7" x14ac:dyDescent="0.2">
      <c r="A33" s="7">
        <v>44774</v>
      </c>
      <c r="B33" s="7" t="s">
        <v>78</v>
      </c>
      <c r="C33" s="4">
        <v>193.44160575132361</v>
      </c>
      <c r="D33" s="13">
        <f t="shared" si="0"/>
        <v>193.44160575132361</v>
      </c>
      <c r="F33" s="5">
        <v>5000</v>
      </c>
      <c r="G33" s="8">
        <v>1</v>
      </c>
    </row>
    <row r="34" spans="1:7" x14ac:dyDescent="0.2">
      <c r="A34" s="7">
        <v>44805</v>
      </c>
      <c r="B34" s="7" t="s">
        <v>78</v>
      </c>
      <c r="C34" s="4">
        <v>438.04581020727113</v>
      </c>
      <c r="D34" s="13">
        <f t="shared" si="0"/>
        <v>438.04581020727113</v>
      </c>
      <c r="F34" s="5">
        <v>5000</v>
      </c>
      <c r="G34" s="8">
        <v>1</v>
      </c>
    </row>
    <row r="35" spans="1:7" x14ac:dyDescent="0.2">
      <c r="A35" s="7">
        <v>44835</v>
      </c>
      <c r="B35" s="7" t="s">
        <v>78</v>
      </c>
      <c r="C35" s="4">
        <v>164.03519739975332</v>
      </c>
      <c r="D35" s="13">
        <f t="shared" si="0"/>
        <v>164.03519739975332</v>
      </c>
      <c r="F35" s="5">
        <v>5000</v>
      </c>
      <c r="G35" s="8">
        <v>1</v>
      </c>
    </row>
    <row r="36" spans="1:7" x14ac:dyDescent="0.2">
      <c r="A36" s="7">
        <v>44866</v>
      </c>
      <c r="B36" s="7" t="s">
        <v>78</v>
      </c>
      <c r="C36" s="4">
        <v>116.81761044453087</v>
      </c>
      <c r="D36" s="13">
        <f t="shared" si="0"/>
        <v>116.81761044453087</v>
      </c>
      <c r="F36" s="5">
        <v>5000</v>
      </c>
      <c r="G36" s="8">
        <v>1</v>
      </c>
    </row>
    <row r="37" spans="1:7" x14ac:dyDescent="0.2">
      <c r="A37" s="7">
        <v>44896</v>
      </c>
      <c r="B37" s="7" t="s">
        <v>78</v>
      </c>
      <c r="C37" s="4">
        <v>77.159469070818176</v>
      </c>
      <c r="D37" s="13">
        <f t="shared" si="0"/>
        <v>77.159469070818176</v>
      </c>
      <c r="F37" s="5">
        <v>6000</v>
      </c>
      <c r="G37" s="8">
        <v>1</v>
      </c>
    </row>
    <row r="38" spans="1:7" x14ac:dyDescent="0.2">
      <c r="A38" s="7">
        <v>44927</v>
      </c>
      <c r="B38" s="7" t="s">
        <v>78</v>
      </c>
      <c r="C38" s="4">
        <v>78.112946885570167</v>
      </c>
      <c r="D38" s="13">
        <f t="shared" si="0"/>
        <v>78.112946885570167</v>
      </c>
      <c r="F38" s="5">
        <v>6000</v>
      </c>
      <c r="G38" s="8">
        <v>1</v>
      </c>
    </row>
    <row r="39" spans="1:7" x14ac:dyDescent="0.2">
      <c r="A39" s="7">
        <v>44958</v>
      </c>
      <c r="B39" s="7" t="s">
        <v>78</v>
      </c>
      <c r="C39" s="4">
        <v>38.12438908246471</v>
      </c>
      <c r="D39" s="13">
        <f t="shared" si="0"/>
        <v>38.12438908246471</v>
      </c>
      <c r="F39" s="5">
        <v>6000</v>
      </c>
      <c r="G39" s="8">
        <v>1</v>
      </c>
    </row>
    <row r="40" spans="1:7" x14ac:dyDescent="0.2">
      <c r="A40" s="7">
        <v>44986</v>
      </c>
      <c r="B40" s="7" t="s">
        <v>78</v>
      </c>
      <c r="C40" s="4">
        <v>144.4920989181592</v>
      </c>
      <c r="D40" s="13">
        <f t="shared" si="0"/>
        <v>144.4920989181592</v>
      </c>
      <c r="F40" s="5">
        <v>6000</v>
      </c>
      <c r="G40" s="8">
        <v>1</v>
      </c>
    </row>
    <row r="41" spans="1:7" x14ac:dyDescent="0.2">
      <c r="A41" s="7">
        <v>45017</v>
      </c>
      <c r="B41" s="7" t="s">
        <v>78</v>
      </c>
      <c r="C41" s="4">
        <v>188.42609655715268</v>
      </c>
      <c r="D41" s="13">
        <f t="shared" si="0"/>
        <v>188.42609655715268</v>
      </c>
      <c r="F41" s="5">
        <v>6000</v>
      </c>
      <c r="G41" s="8">
        <v>1</v>
      </c>
    </row>
    <row r="42" spans="1:7" x14ac:dyDescent="0.2">
      <c r="A42" s="7">
        <v>45047</v>
      </c>
      <c r="B42" s="7" t="s">
        <v>78</v>
      </c>
      <c r="C42" s="4">
        <v>7.9519467611920041</v>
      </c>
      <c r="D42" s="13">
        <f t="shared" si="0"/>
        <v>7.9519467611920041</v>
      </c>
      <c r="F42" s="5">
        <v>6000</v>
      </c>
      <c r="G42" s="8">
        <v>1</v>
      </c>
    </row>
    <row r="43" spans="1:7" x14ac:dyDescent="0.2">
      <c r="A43" s="7">
        <v>45078</v>
      </c>
      <c r="B43" s="7" t="s">
        <v>78</v>
      </c>
      <c r="C43" s="4">
        <v>74.922067899618227</v>
      </c>
      <c r="D43" s="13">
        <f t="shared" si="0"/>
        <v>74.922067899618227</v>
      </c>
      <c r="F43" s="5">
        <v>6000</v>
      </c>
      <c r="G43" s="8">
        <v>1</v>
      </c>
    </row>
    <row r="44" spans="1:7" x14ac:dyDescent="0.2">
      <c r="A44" s="7">
        <v>45108</v>
      </c>
      <c r="B44" s="7" t="s">
        <v>78</v>
      </c>
      <c r="C44" s="4">
        <v>239.55493513068544</v>
      </c>
      <c r="D44" s="13">
        <f t="shared" si="0"/>
        <v>239.55493513068544</v>
      </c>
      <c r="F44" s="5">
        <v>7000</v>
      </c>
      <c r="G44" s="8">
        <v>1</v>
      </c>
    </row>
    <row r="45" spans="1:7" x14ac:dyDescent="0.2">
      <c r="A45" s="7">
        <v>45139</v>
      </c>
      <c r="B45" s="7" t="s">
        <v>78</v>
      </c>
      <c r="C45" s="4">
        <v>82.582281665325155</v>
      </c>
      <c r="D45" s="13">
        <f t="shared" si="0"/>
        <v>82.582281665325155</v>
      </c>
      <c r="F45" s="5">
        <v>7000</v>
      </c>
      <c r="G45" s="8">
        <v>1</v>
      </c>
    </row>
    <row r="46" spans="1:7" x14ac:dyDescent="0.2">
      <c r="A46" s="7">
        <v>45170</v>
      </c>
      <c r="B46" s="7" t="s">
        <v>78</v>
      </c>
      <c r="C46" s="4">
        <v>101.40937722324816</v>
      </c>
      <c r="D46" s="13">
        <f t="shared" si="0"/>
        <v>101.40937722324816</v>
      </c>
      <c r="F46" s="5">
        <v>7000</v>
      </c>
      <c r="G46" s="8">
        <v>1</v>
      </c>
    </row>
    <row r="47" spans="1:7" x14ac:dyDescent="0.2">
      <c r="A47" s="7">
        <v>45200</v>
      </c>
      <c r="B47" s="7" t="s">
        <v>78</v>
      </c>
      <c r="C47" s="4">
        <v>58.872788033295862</v>
      </c>
      <c r="D47" s="13">
        <f t="shared" si="0"/>
        <v>58.872788033295862</v>
      </c>
      <c r="F47" s="5">
        <v>7000</v>
      </c>
      <c r="G47" s="8">
        <v>1</v>
      </c>
    </row>
    <row r="48" spans="1:7" x14ac:dyDescent="0.2">
      <c r="A48" s="7">
        <v>45231</v>
      </c>
      <c r="B48" s="7" t="s">
        <v>78</v>
      </c>
      <c r="C48" s="4">
        <v>253.98429047290878</v>
      </c>
      <c r="D48" s="13">
        <f t="shared" si="0"/>
        <v>253.98429047290878</v>
      </c>
      <c r="F48" s="5">
        <v>7000</v>
      </c>
      <c r="G48" s="8">
        <v>1</v>
      </c>
    </row>
    <row r="49" spans="1:7" x14ac:dyDescent="0.2">
      <c r="A49" s="7">
        <v>45261</v>
      </c>
      <c r="B49" s="7" t="s">
        <v>78</v>
      </c>
      <c r="C49" s="4">
        <v>156.80655587976318</v>
      </c>
      <c r="D49" s="13">
        <f t="shared" si="0"/>
        <v>156.80655587976318</v>
      </c>
      <c r="F49" s="5">
        <v>7000</v>
      </c>
      <c r="G49" s="8">
        <v>1</v>
      </c>
    </row>
    <row r="50" spans="1:7" x14ac:dyDescent="0.2">
      <c r="A50" s="7">
        <v>45292</v>
      </c>
      <c r="B50" s="7" t="s">
        <v>78</v>
      </c>
      <c r="C50" s="4">
        <v>35.454331692138304</v>
      </c>
      <c r="D50" s="13">
        <f t="shared" si="0"/>
        <v>35.454331692138304</v>
      </c>
      <c r="F50" s="5">
        <v>7000</v>
      </c>
      <c r="G50" s="8">
        <v>1</v>
      </c>
    </row>
    <row r="51" spans="1:7" x14ac:dyDescent="0.2">
      <c r="A51" s="7">
        <v>45323</v>
      </c>
      <c r="B51" s="7" t="s">
        <v>78</v>
      </c>
      <c r="C51" s="4">
        <v>72.854546165147795</v>
      </c>
      <c r="D51" s="13">
        <f t="shared" si="0"/>
        <v>72.854546165147795</v>
      </c>
      <c r="F51" s="5">
        <v>8000</v>
      </c>
      <c r="G51" s="8">
        <v>1</v>
      </c>
    </row>
    <row r="52" spans="1:7" x14ac:dyDescent="0.2">
      <c r="A52" s="7">
        <v>45352</v>
      </c>
      <c r="B52" s="7" t="s">
        <v>78</v>
      </c>
      <c r="C52" s="4">
        <v>95.011011108940181</v>
      </c>
      <c r="D52" s="13">
        <f t="shared" si="0"/>
        <v>95.011011108940181</v>
      </c>
      <c r="F52" s="5">
        <v>8000</v>
      </c>
      <c r="G52" s="8">
        <v>1</v>
      </c>
    </row>
    <row r="53" spans="1:7" x14ac:dyDescent="0.2">
      <c r="A53" s="7">
        <v>45383</v>
      </c>
      <c r="B53" s="7" t="s">
        <v>78</v>
      </c>
      <c r="C53" s="4">
        <v>118.09722579968975</v>
      </c>
      <c r="D53" s="13">
        <f t="shared" si="0"/>
        <v>118.09722579968975</v>
      </c>
      <c r="F53" s="5">
        <v>8000</v>
      </c>
      <c r="G53" s="8">
        <v>1</v>
      </c>
    </row>
    <row r="54" spans="1:7" x14ac:dyDescent="0.2">
      <c r="A54" s="7">
        <v>45413</v>
      </c>
      <c r="B54" s="7" t="s">
        <v>78</v>
      </c>
      <c r="C54" s="4">
        <v>4.9754692384189418</v>
      </c>
      <c r="D54" s="13">
        <f t="shared" si="0"/>
        <v>4.9754692384189418</v>
      </c>
      <c r="F54" s="5">
        <v>8000</v>
      </c>
      <c r="G54" s="8">
        <v>1</v>
      </c>
    </row>
    <row r="55" spans="1:7" x14ac:dyDescent="0.2">
      <c r="A55" s="7">
        <v>45444</v>
      </c>
      <c r="B55" s="7" t="s">
        <v>78</v>
      </c>
      <c r="C55" s="4">
        <v>157.5019372589696</v>
      </c>
      <c r="D55" s="13">
        <f t="shared" si="0"/>
        <v>157.5019372589696</v>
      </c>
      <c r="F55" s="5">
        <v>8000</v>
      </c>
      <c r="G55" s="8">
        <v>1</v>
      </c>
    </row>
    <row r="56" spans="1:7" x14ac:dyDescent="0.2">
      <c r="A56" s="7">
        <v>45474</v>
      </c>
      <c r="B56" s="7" t="s">
        <v>78</v>
      </c>
      <c r="C56" s="4">
        <v>315.83892792724055</v>
      </c>
      <c r="D56" s="13">
        <f t="shared" si="0"/>
        <v>315.83892792724055</v>
      </c>
      <c r="F56" s="5">
        <v>8000</v>
      </c>
      <c r="G56" s="8">
        <v>1</v>
      </c>
    </row>
    <row r="57" spans="1:7" x14ac:dyDescent="0.2">
      <c r="A57" s="7">
        <v>45505</v>
      </c>
      <c r="B57" s="7" t="s">
        <v>78</v>
      </c>
      <c r="C57" s="4">
        <v>205.82052864422573</v>
      </c>
      <c r="D57" s="13">
        <f t="shared" si="0"/>
        <v>205.82052864422573</v>
      </c>
      <c r="F57" s="5">
        <v>8000</v>
      </c>
      <c r="G57" s="8">
        <v>1</v>
      </c>
    </row>
    <row r="58" spans="1:7" x14ac:dyDescent="0.2">
      <c r="A58" s="7">
        <v>45536</v>
      </c>
      <c r="B58" s="7" t="s">
        <v>78</v>
      </c>
      <c r="C58" s="4">
        <v>94.957187560836303</v>
      </c>
      <c r="D58" s="13">
        <f t="shared" si="0"/>
        <v>94.957187560836303</v>
      </c>
      <c r="F58" s="5">
        <v>9000</v>
      </c>
      <c r="G58" s="8">
        <v>1</v>
      </c>
    </row>
    <row r="59" spans="1:7" x14ac:dyDescent="0.2">
      <c r="A59" s="7">
        <v>45566</v>
      </c>
      <c r="B59" s="7" t="s">
        <v>78</v>
      </c>
      <c r="C59" s="4">
        <v>201.42658359974388</v>
      </c>
      <c r="D59" s="13">
        <f t="shared" si="0"/>
        <v>201.42658359974388</v>
      </c>
      <c r="F59" s="5">
        <v>9000</v>
      </c>
      <c r="G59" s="8">
        <v>1</v>
      </c>
    </row>
    <row r="60" spans="1:7" x14ac:dyDescent="0.2">
      <c r="A60" s="7">
        <v>45597</v>
      </c>
      <c r="B60" s="7" t="s">
        <v>78</v>
      </c>
      <c r="C60" s="4">
        <v>154.34769188322477</v>
      </c>
      <c r="D60" s="13">
        <f t="shared" si="0"/>
        <v>154.34769188322477</v>
      </c>
      <c r="F60" s="5">
        <v>9000</v>
      </c>
      <c r="G60" s="8">
        <v>1</v>
      </c>
    </row>
    <row r="61" spans="1:7" x14ac:dyDescent="0.2">
      <c r="A61" s="7">
        <v>45627</v>
      </c>
      <c r="B61" s="7" t="s">
        <v>78</v>
      </c>
      <c r="C61" s="4">
        <v>266.57844870086228</v>
      </c>
      <c r="D61" s="13">
        <f t="shared" si="0"/>
        <v>266.57844870086228</v>
      </c>
      <c r="F61" s="5">
        <v>9000</v>
      </c>
      <c r="G61" s="8">
        <v>1</v>
      </c>
    </row>
    <row r="62" spans="1:7" x14ac:dyDescent="0.2">
      <c r="A62" s="7">
        <v>45658</v>
      </c>
      <c r="B62" s="7" t="s">
        <v>78</v>
      </c>
      <c r="C62" s="4">
        <v>69.707970471240657</v>
      </c>
      <c r="D62" s="13">
        <f t="shared" si="0"/>
        <v>69.707970471240657</v>
      </c>
      <c r="F62" s="5">
        <v>9000</v>
      </c>
      <c r="G62" s="8">
        <v>1</v>
      </c>
    </row>
    <row r="63" spans="1:7" x14ac:dyDescent="0.2">
      <c r="A63" s="7">
        <v>45689</v>
      </c>
      <c r="B63" s="7" t="s">
        <v>78</v>
      </c>
      <c r="C63" s="4">
        <v>124.26608481219695</v>
      </c>
      <c r="D63" s="13">
        <f t="shared" si="0"/>
        <v>124.26608481219695</v>
      </c>
      <c r="F63" s="5">
        <v>9000</v>
      </c>
      <c r="G63" s="8">
        <v>1</v>
      </c>
    </row>
    <row r="64" spans="1:7" x14ac:dyDescent="0.2">
      <c r="A64" s="7">
        <v>45717</v>
      </c>
      <c r="B64" s="7" t="s">
        <v>78</v>
      </c>
      <c r="C64" s="4">
        <v>214.99404900660824</v>
      </c>
      <c r="D64" s="13">
        <f t="shared" si="0"/>
        <v>214.99404900660824</v>
      </c>
      <c r="F64" s="5">
        <v>9000</v>
      </c>
      <c r="G64" s="8">
        <v>1</v>
      </c>
    </row>
    <row r="65" spans="1:7" x14ac:dyDescent="0.2">
      <c r="A65" s="7">
        <v>45748</v>
      </c>
      <c r="B65" s="7" t="s">
        <v>78</v>
      </c>
      <c r="C65" s="4">
        <v>83.933734236738104</v>
      </c>
      <c r="D65" s="13">
        <f t="shared" si="0"/>
        <v>83.933734236738104</v>
      </c>
      <c r="F65" s="5">
        <v>10000</v>
      </c>
      <c r="G65" s="8">
        <v>1</v>
      </c>
    </row>
    <row r="66" spans="1:7" x14ac:dyDescent="0.2">
      <c r="A66" s="7">
        <v>45778</v>
      </c>
      <c r="B66" s="7" t="s">
        <v>78</v>
      </c>
      <c r="C66" s="4">
        <v>305.05877488793465</v>
      </c>
      <c r="D66" s="13">
        <f t="shared" si="0"/>
        <v>305.05877488793465</v>
      </c>
      <c r="F66" s="5">
        <v>10000</v>
      </c>
      <c r="G66" s="8">
        <v>1</v>
      </c>
    </row>
    <row r="67" spans="1:7" x14ac:dyDescent="0.2">
      <c r="A67" s="7">
        <v>45809</v>
      </c>
      <c r="B67" s="7" t="s">
        <v>78</v>
      </c>
      <c r="C67" s="4">
        <v>151.72063520056739</v>
      </c>
      <c r="D67" s="13">
        <f t="shared" ref="D67:D105" si="1">C67-E67</f>
        <v>151.72063520056739</v>
      </c>
      <c r="F67" s="5">
        <v>10000</v>
      </c>
      <c r="G67" s="8">
        <v>1</v>
      </c>
    </row>
    <row r="68" spans="1:7" x14ac:dyDescent="0.2">
      <c r="A68" s="7">
        <v>45839</v>
      </c>
      <c r="B68" s="7" t="s">
        <v>78</v>
      </c>
      <c r="C68" s="4">
        <v>75.826013619958118</v>
      </c>
      <c r="D68" s="13">
        <f t="shared" si="1"/>
        <v>75.826013619958118</v>
      </c>
      <c r="F68" s="5">
        <v>10000</v>
      </c>
      <c r="G68" s="8">
        <v>1</v>
      </c>
    </row>
    <row r="69" spans="1:7" x14ac:dyDescent="0.2">
      <c r="A69" s="7">
        <v>45870</v>
      </c>
      <c r="B69" s="7" t="s">
        <v>78</v>
      </c>
      <c r="C69" s="4">
        <v>53.433102816110704</v>
      </c>
      <c r="D69" s="13">
        <f t="shared" si="1"/>
        <v>53.433102816110704</v>
      </c>
      <c r="F69" s="5">
        <v>10000</v>
      </c>
      <c r="G69" s="8">
        <v>1</v>
      </c>
    </row>
    <row r="70" spans="1:7" x14ac:dyDescent="0.2">
      <c r="A70" s="7">
        <v>45901</v>
      </c>
      <c r="B70" s="7" t="s">
        <v>78</v>
      </c>
      <c r="C70" s="4">
        <v>42.403802022171597</v>
      </c>
      <c r="D70" s="13">
        <f t="shared" si="1"/>
        <v>42.403802022171597</v>
      </c>
      <c r="F70" s="5">
        <v>10000</v>
      </c>
      <c r="G70" s="8">
        <v>1</v>
      </c>
    </row>
    <row r="71" spans="1:7" x14ac:dyDescent="0.2">
      <c r="A71" s="7">
        <v>45931</v>
      </c>
      <c r="B71" s="7" t="s">
        <v>78</v>
      </c>
      <c r="C71" s="4">
        <v>193.63841293196407</v>
      </c>
      <c r="D71" s="13">
        <f t="shared" si="1"/>
        <v>193.63841293196407</v>
      </c>
      <c r="F71" s="5">
        <v>10000</v>
      </c>
      <c r="G71" s="8">
        <v>1</v>
      </c>
    </row>
    <row r="72" spans="1:7" x14ac:dyDescent="0.2">
      <c r="A72" s="7">
        <v>45962</v>
      </c>
      <c r="B72" s="7" t="s">
        <v>78</v>
      </c>
      <c r="C72" s="4">
        <v>51.251332989246578</v>
      </c>
      <c r="D72" s="13">
        <f t="shared" si="1"/>
        <v>51.251332989246578</v>
      </c>
      <c r="F72" s="5">
        <v>10000</v>
      </c>
      <c r="G72" s="8">
        <v>1</v>
      </c>
    </row>
    <row r="73" spans="1:7" x14ac:dyDescent="0.2">
      <c r="A73" s="7">
        <v>45992</v>
      </c>
      <c r="B73" s="7" t="s">
        <v>78</v>
      </c>
      <c r="C73" s="4">
        <v>192.1645191393574</v>
      </c>
      <c r="D73" s="13">
        <f t="shared" si="1"/>
        <v>192.1645191393574</v>
      </c>
      <c r="F73" s="5">
        <v>10000</v>
      </c>
      <c r="G73" s="8">
        <v>1</v>
      </c>
    </row>
    <row r="74" spans="1:7" x14ac:dyDescent="0.2">
      <c r="A74" s="7">
        <v>46023</v>
      </c>
      <c r="B74" s="7" t="s">
        <v>78</v>
      </c>
      <c r="C74" s="4">
        <v>78.591408346937797</v>
      </c>
      <c r="D74" s="13">
        <f t="shared" si="1"/>
        <v>78.591408346937797</v>
      </c>
      <c r="F74" s="5">
        <v>10000</v>
      </c>
      <c r="G74" s="8">
        <v>1</v>
      </c>
    </row>
    <row r="75" spans="1:7" x14ac:dyDescent="0.2">
      <c r="A75" s="7">
        <v>43831</v>
      </c>
      <c r="B75" s="7" t="s">
        <v>79</v>
      </c>
      <c r="C75" s="4">
        <v>249.78707142524723</v>
      </c>
      <c r="D75" s="13">
        <f t="shared" si="1"/>
        <v>247.94488144521645</v>
      </c>
      <c r="E75" s="4">
        <v>1.8421899800307695</v>
      </c>
      <c r="F75" s="5">
        <v>1000</v>
      </c>
      <c r="G75" s="8">
        <v>1</v>
      </c>
    </row>
    <row r="76" spans="1:7" x14ac:dyDescent="0.2">
      <c r="A76" s="7">
        <v>43862</v>
      </c>
      <c r="B76" s="7" t="s">
        <v>79</v>
      </c>
      <c r="C76" s="4">
        <v>570.77840484660851</v>
      </c>
      <c r="D76" s="13">
        <f t="shared" si="1"/>
        <v>570.13543919648521</v>
      </c>
      <c r="E76" s="4">
        <v>0.64296565012326901</v>
      </c>
      <c r="F76" s="5">
        <v>1000</v>
      </c>
      <c r="G76" s="8">
        <v>1</v>
      </c>
    </row>
    <row r="77" spans="1:7" x14ac:dyDescent="0.2">
      <c r="A77" s="7">
        <v>43891</v>
      </c>
      <c r="B77" s="7" t="s">
        <v>79</v>
      </c>
      <c r="C77" s="4">
        <v>365.43914155075919</v>
      </c>
      <c r="D77" s="13">
        <f t="shared" si="1"/>
        <v>364.82609440208256</v>
      </c>
      <c r="E77" s="4">
        <v>0.61304714867663646</v>
      </c>
      <c r="F77" s="5">
        <v>1000</v>
      </c>
      <c r="G77" s="8">
        <v>1</v>
      </c>
    </row>
    <row r="78" spans="1:7" x14ac:dyDescent="0.2">
      <c r="A78" s="7">
        <v>43922</v>
      </c>
      <c r="B78" s="7" t="s">
        <v>79</v>
      </c>
      <c r="C78" s="4">
        <v>239.6803371380818</v>
      </c>
      <c r="D78" s="13">
        <f t="shared" si="1"/>
        <v>238.19969502287245</v>
      </c>
      <c r="E78" s="4">
        <v>1.4806421152093561</v>
      </c>
      <c r="F78" s="5">
        <v>1000</v>
      </c>
      <c r="G78" s="8">
        <v>1</v>
      </c>
    </row>
    <row r="79" spans="1:7" x14ac:dyDescent="0.2">
      <c r="A79" s="7">
        <v>43952</v>
      </c>
      <c r="B79" s="7" t="s">
        <v>79</v>
      </c>
      <c r="C79" s="4">
        <v>186.63381978109138</v>
      </c>
      <c r="D79" s="13">
        <f t="shared" si="1"/>
        <v>184.19219839032465</v>
      </c>
      <c r="E79" s="4">
        <v>2.4416213907667239</v>
      </c>
      <c r="F79" s="5">
        <v>1000</v>
      </c>
      <c r="G79" s="8">
        <v>1</v>
      </c>
    </row>
    <row r="80" spans="1:7" x14ac:dyDescent="0.2">
      <c r="A80" s="7">
        <v>43983</v>
      </c>
      <c r="B80" s="7" t="s">
        <v>79</v>
      </c>
      <c r="C80" s="4">
        <v>52.652967580874488</v>
      </c>
      <c r="D80" s="13">
        <f t="shared" si="1"/>
        <v>48.9485166885014</v>
      </c>
      <c r="E80" s="4">
        <v>3.7044508923730874</v>
      </c>
      <c r="F80" s="5">
        <v>1000</v>
      </c>
      <c r="G80" s="8">
        <v>1</v>
      </c>
    </row>
    <row r="81" spans="1:7" x14ac:dyDescent="0.2">
      <c r="A81" s="7">
        <v>44013</v>
      </c>
      <c r="B81" s="7" t="s">
        <v>79</v>
      </c>
      <c r="C81" s="4">
        <v>1498.9997937301719</v>
      </c>
      <c r="D81" s="13">
        <f t="shared" si="1"/>
        <v>1493.7798233033386</v>
      </c>
      <c r="E81" s="4">
        <v>5.2199704268333331</v>
      </c>
      <c r="F81" s="5">
        <v>1000</v>
      </c>
      <c r="G81" s="8">
        <v>1</v>
      </c>
    </row>
    <row r="82" spans="1:7" x14ac:dyDescent="0.2">
      <c r="A82" s="7">
        <v>44044</v>
      </c>
      <c r="B82" s="7" t="s">
        <v>79</v>
      </c>
      <c r="C82" s="4">
        <v>424.11842439771436</v>
      </c>
      <c r="D82" s="13">
        <f t="shared" si="1"/>
        <v>423.03781452284545</v>
      </c>
      <c r="E82" s="4">
        <v>1.0806098748689272</v>
      </c>
      <c r="F82" s="5">
        <v>2000</v>
      </c>
      <c r="G82" s="8">
        <v>1</v>
      </c>
    </row>
    <row r="83" spans="1:7" x14ac:dyDescent="0.2">
      <c r="A83" s="7">
        <v>44075</v>
      </c>
      <c r="B83" s="7" t="s">
        <v>79</v>
      </c>
      <c r="C83" s="4">
        <v>51.534199073474952</v>
      </c>
      <c r="D83" s="13">
        <f t="shared" si="1"/>
        <v>49.969664311451673</v>
      </c>
      <c r="E83" s="4">
        <v>1.5645347620232803</v>
      </c>
      <c r="F83" s="5">
        <v>2000</v>
      </c>
      <c r="G83" s="8">
        <v>1</v>
      </c>
    </row>
    <row r="84" spans="1:7" x14ac:dyDescent="0.2">
      <c r="A84" s="7">
        <v>44105</v>
      </c>
      <c r="B84" s="7" t="s">
        <v>79</v>
      </c>
      <c r="C84" s="4">
        <v>174.17269585735411</v>
      </c>
      <c r="D84" s="13">
        <f t="shared" si="1"/>
        <v>170.9799866785288</v>
      </c>
      <c r="E84" s="4">
        <v>3.1927091788253055</v>
      </c>
      <c r="F84" s="5">
        <v>2000</v>
      </c>
      <c r="G84" s="8">
        <v>1</v>
      </c>
    </row>
    <row r="85" spans="1:7" x14ac:dyDescent="0.2">
      <c r="A85" s="7">
        <v>44136</v>
      </c>
      <c r="B85" s="7" t="s">
        <v>79</v>
      </c>
      <c r="C85" s="4">
        <v>194.65040243615465</v>
      </c>
      <c r="D85" s="13">
        <f t="shared" si="1"/>
        <v>192.37235134458726</v>
      </c>
      <c r="E85" s="4">
        <v>2.2780510915673875</v>
      </c>
      <c r="F85" s="5">
        <v>2000</v>
      </c>
      <c r="G85" s="8">
        <v>1</v>
      </c>
    </row>
    <row r="86" spans="1:7" x14ac:dyDescent="0.2">
      <c r="A86" s="7">
        <v>44166</v>
      </c>
      <c r="B86" s="7" t="s">
        <v>79</v>
      </c>
      <c r="C86" s="4">
        <v>502.60008968005155</v>
      </c>
      <c r="D86" s="13">
        <f t="shared" si="1"/>
        <v>501.3778159430272</v>
      </c>
      <c r="E86" s="4">
        <v>1.2222737370243626</v>
      </c>
      <c r="F86" s="5">
        <v>2000</v>
      </c>
      <c r="G86" s="8">
        <v>1</v>
      </c>
    </row>
    <row r="87" spans="1:7" x14ac:dyDescent="0.2">
      <c r="A87" s="7">
        <v>44197</v>
      </c>
      <c r="B87" s="7" t="s">
        <v>79</v>
      </c>
      <c r="C87" s="4">
        <v>255.36913957036296</v>
      </c>
      <c r="D87" s="13">
        <f t="shared" si="1"/>
        <v>241.9363551528931</v>
      </c>
      <c r="E87" s="4">
        <v>13.432784417469867</v>
      </c>
      <c r="F87" s="5">
        <v>2000</v>
      </c>
      <c r="G87" s="8">
        <v>1</v>
      </c>
    </row>
    <row r="88" spans="1:7" x14ac:dyDescent="0.2">
      <c r="A88" s="7">
        <v>44228</v>
      </c>
      <c r="B88" s="7" t="s">
        <v>79</v>
      </c>
      <c r="C88" s="4">
        <v>316.37938255845046</v>
      </c>
      <c r="D88" s="13">
        <f t="shared" si="1"/>
        <v>314.3483171314395</v>
      </c>
      <c r="E88" s="4">
        <v>2.0310654270109403</v>
      </c>
      <c r="F88" s="5">
        <v>2000</v>
      </c>
      <c r="G88" s="8">
        <v>1</v>
      </c>
    </row>
    <row r="89" spans="1:7" x14ac:dyDescent="0.2">
      <c r="A89" s="7">
        <v>44256</v>
      </c>
      <c r="B89" s="7" t="s">
        <v>79</v>
      </c>
      <c r="C89" s="4">
        <v>184.3965943996655</v>
      </c>
      <c r="D89" s="13">
        <f t="shared" si="1"/>
        <v>182.81387398582211</v>
      </c>
      <c r="E89" s="4">
        <v>1.5827204138433855</v>
      </c>
      <c r="F89" s="5">
        <v>3000</v>
      </c>
      <c r="G89" s="8">
        <v>1</v>
      </c>
    </row>
    <row r="90" spans="1:7" x14ac:dyDescent="0.2">
      <c r="A90" s="7">
        <v>44287</v>
      </c>
      <c r="B90" s="7" t="s">
        <v>79</v>
      </c>
      <c r="C90" s="4">
        <v>640.24858929896106</v>
      </c>
      <c r="D90" s="13">
        <f t="shared" si="1"/>
        <v>639.61319855660031</v>
      </c>
      <c r="E90" s="4">
        <v>0.63539074236079962</v>
      </c>
      <c r="F90" s="5">
        <v>3000</v>
      </c>
      <c r="G90" s="8">
        <v>1</v>
      </c>
    </row>
    <row r="91" spans="1:7" x14ac:dyDescent="0.2">
      <c r="A91" s="7">
        <v>44317</v>
      </c>
      <c r="B91" s="7" t="s">
        <v>79</v>
      </c>
      <c r="C91" s="4">
        <v>474.34403782404223</v>
      </c>
      <c r="D91" s="13">
        <f t="shared" si="1"/>
        <v>474.32087966181405</v>
      </c>
      <c r="E91" s="4">
        <v>2.3158162228188939E-2</v>
      </c>
      <c r="F91" s="5">
        <v>3000</v>
      </c>
      <c r="G91" s="8">
        <v>1</v>
      </c>
    </row>
    <row r="92" spans="1:7" x14ac:dyDescent="0.2">
      <c r="A92" s="7">
        <v>44348</v>
      </c>
      <c r="B92" s="7" t="s">
        <v>79</v>
      </c>
      <c r="C92" s="4">
        <v>681.03754245302491</v>
      </c>
      <c r="D92" s="13">
        <f t="shared" si="1"/>
        <v>675.39282209445321</v>
      </c>
      <c r="E92" s="4">
        <v>5.6447203585716741</v>
      </c>
      <c r="F92" s="5">
        <v>3000</v>
      </c>
      <c r="G92" s="8">
        <v>1</v>
      </c>
    </row>
    <row r="93" spans="1:7" x14ac:dyDescent="0.2">
      <c r="A93" s="7">
        <v>44378</v>
      </c>
      <c r="B93" s="7" t="s">
        <v>79</v>
      </c>
      <c r="C93" s="4">
        <v>291.10003038377891</v>
      </c>
      <c r="D93" s="13">
        <f t="shared" si="1"/>
        <v>291.10003038377891</v>
      </c>
      <c r="E93" s="4">
        <v>0</v>
      </c>
      <c r="F93" s="5">
        <v>3000</v>
      </c>
      <c r="G93" s="8">
        <v>1</v>
      </c>
    </row>
    <row r="94" spans="1:7" x14ac:dyDescent="0.2">
      <c r="A94" s="7">
        <v>44409</v>
      </c>
      <c r="B94" s="7" t="s">
        <v>79</v>
      </c>
      <c r="C94" s="4">
        <v>593.64625011946657</v>
      </c>
      <c r="D94" s="13">
        <f t="shared" si="1"/>
        <v>583.00186765066587</v>
      </c>
      <c r="E94" s="4">
        <v>10.644382468800693</v>
      </c>
      <c r="F94" s="5">
        <v>3000</v>
      </c>
      <c r="G94" s="8">
        <v>1</v>
      </c>
    </row>
    <row r="95" spans="1:7" x14ac:dyDescent="0.2">
      <c r="A95" s="7">
        <v>44440</v>
      </c>
      <c r="B95" s="7" t="s">
        <v>79</v>
      </c>
      <c r="C95" s="4">
        <v>160.50369591648288</v>
      </c>
      <c r="D95" s="13">
        <f t="shared" si="1"/>
        <v>153.84430092710687</v>
      </c>
      <c r="E95" s="4">
        <v>6.6593949893760147</v>
      </c>
      <c r="F95" s="5">
        <v>3000</v>
      </c>
      <c r="G95" s="8">
        <v>1</v>
      </c>
    </row>
    <row r="96" spans="1:7" x14ac:dyDescent="0.2">
      <c r="A96" s="7">
        <v>44470</v>
      </c>
      <c r="B96" s="7" t="s">
        <v>79</v>
      </c>
      <c r="C96" s="4">
        <v>281.4574102900616</v>
      </c>
      <c r="D96" s="13">
        <f t="shared" si="1"/>
        <v>277.8770142992596</v>
      </c>
      <c r="E96" s="4">
        <v>3.5803959908019851</v>
      </c>
      <c r="F96" s="5">
        <v>4000</v>
      </c>
      <c r="G96" s="8">
        <v>1</v>
      </c>
    </row>
    <row r="97" spans="1:7" x14ac:dyDescent="0.2">
      <c r="A97" s="7">
        <v>44501</v>
      </c>
      <c r="B97" s="7" t="s">
        <v>79</v>
      </c>
      <c r="C97" s="4">
        <v>97.267955326858882</v>
      </c>
      <c r="D97" s="13">
        <f t="shared" si="1"/>
        <v>94.040778253734359</v>
      </c>
      <c r="E97" s="4">
        <v>3.2271770731245293</v>
      </c>
      <c r="F97" s="5">
        <v>4000</v>
      </c>
      <c r="G97" s="8">
        <v>1</v>
      </c>
    </row>
    <row r="98" spans="1:7" x14ac:dyDescent="0.2">
      <c r="A98" s="7">
        <v>44531</v>
      </c>
      <c r="B98" s="7" t="s">
        <v>79</v>
      </c>
      <c r="C98" s="4">
        <v>95.599650969514698</v>
      </c>
      <c r="D98" s="13">
        <f t="shared" si="1"/>
        <v>94.626922265662344</v>
      </c>
      <c r="E98" s="4">
        <v>0.97272870385235244</v>
      </c>
      <c r="F98" s="5">
        <v>4000</v>
      </c>
      <c r="G98" s="8">
        <v>1</v>
      </c>
    </row>
    <row r="99" spans="1:7" x14ac:dyDescent="0.2">
      <c r="A99" s="7">
        <v>44562</v>
      </c>
      <c r="B99" s="7" t="s">
        <v>79</v>
      </c>
      <c r="C99" s="4">
        <v>13.580852843417839</v>
      </c>
      <c r="D99" s="13">
        <f t="shared" si="1"/>
        <v>13.308390752611887</v>
      </c>
      <c r="E99" s="4">
        <v>0.27246209080595263</v>
      </c>
      <c r="F99" s="5">
        <v>4000</v>
      </c>
      <c r="G99" s="8">
        <v>1</v>
      </c>
    </row>
    <row r="100" spans="1:7" x14ac:dyDescent="0.2">
      <c r="A100" s="7">
        <v>44593</v>
      </c>
      <c r="B100" s="7" t="s">
        <v>79</v>
      </c>
      <c r="C100" s="4">
        <v>920.74411138240851</v>
      </c>
      <c r="D100" s="13">
        <f t="shared" si="1"/>
        <v>917.66392686961171</v>
      </c>
      <c r="E100" s="4">
        <v>3.080184512796738</v>
      </c>
      <c r="F100" s="5">
        <v>4000</v>
      </c>
      <c r="G100" s="8">
        <v>1</v>
      </c>
    </row>
    <row r="101" spans="1:7" x14ac:dyDescent="0.2">
      <c r="A101" s="7">
        <v>44621</v>
      </c>
      <c r="B101" s="7" t="s">
        <v>79</v>
      </c>
      <c r="C101" s="4">
        <v>13.314701426485042</v>
      </c>
      <c r="D101" s="13">
        <f t="shared" si="1"/>
        <v>12.564102215980427</v>
      </c>
      <c r="E101" s="4">
        <v>0.75059921050461664</v>
      </c>
      <c r="F101" s="5">
        <v>4000</v>
      </c>
      <c r="G101" s="8">
        <v>1</v>
      </c>
    </row>
    <row r="102" spans="1:7" x14ac:dyDescent="0.2">
      <c r="A102" s="7">
        <v>44652</v>
      </c>
      <c r="B102" s="7" t="s">
        <v>79</v>
      </c>
      <c r="C102" s="4">
        <v>184.88885450961169</v>
      </c>
      <c r="D102" s="13">
        <f t="shared" si="1"/>
        <v>162.21825930254775</v>
      </c>
      <c r="E102" s="4">
        <v>22.670595207063943</v>
      </c>
      <c r="F102" s="5">
        <v>4000</v>
      </c>
      <c r="G102" s="8">
        <v>1</v>
      </c>
    </row>
    <row r="103" spans="1:7" x14ac:dyDescent="0.2">
      <c r="A103" s="7">
        <v>44682</v>
      </c>
      <c r="B103" s="7" t="s">
        <v>79</v>
      </c>
      <c r="C103" s="4">
        <v>101.02885375816956</v>
      </c>
      <c r="D103" s="13">
        <f t="shared" si="1"/>
        <v>99.869472297136781</v>
      </c>
      <c r="E103" s="4">
        <v>1.1593814610327746</v>
      </c>
      <c r="F103" s="5">
        <v>5000</v>
      </c>
      <c r="G103" s="8">
        <v>1</v>
      </c>
    </row>
    <row r="104" spans="1:7" x14ac:dyDescent="0.2">
      <c r="A104" s="7">
        <v>44713</v>
      </c>
      <c r="B104" s="7" t="s">
        <v>79</v>
      </c>
      <c r="C104" s="4">
        <v>564.82323374965506</v>
      </c>
      <c r="D104" s="13">
        <f t="shared" si="1"/>
        <v>560.46885663865544</v>
      </c>
      <c r="E104" s="4">
        <v>4.3543771109996587</v>
      </c>
      <c r="F104" s="5">
        <v>5000</v>
      </c>
      <c r="G104" s="8">
        <v>1</v>
      </c>
    </row>
    <row r="105" spans="1:7" x14ac:dyDescent="0.2">
      <c r="A105" s="7">
        <v>44743</v>
      </c>
      <c r="B105" s="7" t="s">
        <v>79</v>
      </c>
      <c r="C105" s="4">
        <v>219.47634489384623</v>
      </c>
      <c r="D105" s="13">
        <f t="shared" si="1"/>
        <v>212.67117549502368</v>
      </c>
      <c r="E105" s="4">
        <v>6.8051693988225566</v>
      </c>
      <c r="F105" s="5">
        <v>5000</v>
      </c>
      <c r="G105" s="8">
        <v>1</v>
      </c>
    </row>
    <row r="106" spans="1:7" x14ac:dyDescent="0.2">
      <c r="A106" s="7">
        <v>44774</v>
      </c>
      <c r="B106" s="7" t="s">
        <v>79</v>
      </c>
      <c r="C106" s="4">
        <v>106.20719287679998</v>
      </c>
      <c r="D106" s="13">
        <f>C106-E106</f>
        <v>103.00092608716957</v>
      </c>
      <c r="E106" s="4">
        <v>3.2062667896304036</v>
      </c>
      <c r="F106" s="5">
        <v>5000</v>
      </c>
      <c r="G106" s="8">
        <v>1</v>
      </c>
    </row>
    <row r="107" spans="1:7" x14ac:dyDescent="0.2">
      <c r="A107" s="7">
        <v>44805</v>
      </c>
      <c r="B107" s="7" t="s">
        <v>79</v>
      </c>
      <c r="C107" s="4">
        <v>530.83409809133434</v>
      </c>
      <c r="D107" s="13">
        <f t="shared" ref="D107:D148" si="2">C107-E107</f>
        <v>525.41769416395505</v>
      </c>
      <c r="E107" s="4">
        <v>5.4164039273793492</v>
      </c>
      <c r="F107" s="5">
        <v>5000</v>
      </c>
      <c r="G107" s="8">
        <v>1</v>
      </c>
    </row>
    <row r="108" spans="1:7" x14ac:dyDescent="0.2">
      <c r="A108" s="7">
        <v>44835</v>
      </c>
      <c r="B108" s="7" t="s">
        <v>79</v>
      </c>
      <c r="C108" s="4">
        <v>47.412771293418984</v>
      </c>
      <c r="D108" s="13">
        <f t="shared" si="2"/>
        <v>31.753529404686937</v>
      </c>
      <c r="E108" s="4">
        <v>15.659241888732048</v>
      </c>
      <c r="F108" s="5">
        <v>5000</v>
      </c>
      <c r="G108" s="8">
        <v>1</v>
      </c>
    </row>
    <row r="109" spans="1:7" x14ac:dyDescent="0.2">
      <c r="A109" s="7">
        <v>44866</v>
      </c>
      <c r="B109" s="7" t="s">
        <v>79</v>
      </c>
      <c r="C109" s="4">
        <v>351.01295120666521</v>
      </c>
      <c r="D109" s="13">
        <f t="shared" si="2"/>
        <v>349.43666797943825</v>
      </c>
      <c r="E109" s="4">
        <v>1.576283227226928</v>
      </c>
      <c r="F109" s="5">
        <v>5000</v>
      </c>
      <c r="G109" s="8">
        <v>1</v>
      </c>
    </row>
    <row r="110" spans="1:7" x14ac:dyDescent="0.2">
      <c r="A110" s="7">
        <v>44896</v>
      </c>
      <c r="B110" s="7" t="s">
        <v>79</v>
      </c>
      <c r="C110" s="4">
        <v>297.10651230627656</v>
      </c>
      <c r="D110" s="13">
        <f t="shared" si="2"/>
        <v>286.98992026937435</v>
      </c>
      <c r="E110" s="4">
        <v>10.116592036902198</v>
      </c>
      <c r="F110" s="5">
        <v>6000</v>
      </c>
      <c r="G110" s="8">
        <v>1</v>
      </c>
    </row>
    <row r="111" spans="1:7" x14ac:dyDescent="0.2">
      <c r="A111" s="7">
        <v>44927</v>
      </c>
      <c r="B111" s="7" t="s">
        <v>79</v>
      </c>
      <c r="C111" s="4">
        <v>632.72927137209683</v>
      </c>
      <c r="D111" s="13">
        <f t="shared" si="2"/>
        <v>630.26182570323613</v>
      </c>
      <c r="E111" s="4">
        <v>2.4674456688606519</v>
      </c>
      <c r="F111" s="5">
        <v>6000</v>
      </c>
      <c r="G111" s="8">
        <v>1</v>
      </c>
    </row>
    <row r="112" spans="1:7" x14ac:dyDescent="0.2">
      <c r="A112" s="7">
        <v>44958</v>
      </c>
      <c r="B112" s="7" t="s">
        <v>79</v>
      </c>
      <c r="C112" s="4">
        <v>38.61308015949043</v>
      </c>
      <c r="D112" s="13">
        <f t="shared" si="2"/>
        <v>30.538617111412062</v>
      </c>
      <c r="E112" s="4">
        <v>8.0744630480783677</v>
      </c>
      <c r="F112" s="5">
        <v>6000</v>
      </c>
      <c r="G112" s="8">
        <v>1</v>
      </c>
    </row>
    <row r="113" spans="1:7" x14ac:dyDescent="0.2">
      <c r="A113" s="7">
        <v>44986</v>
      </c>
      <c r="B113" s="7" t="s">
        <v>79</v>
      </c>
      <c r="C113" s="4">
        <v>895.39497127704044</v>
      </c>
      <c r="D113" s="13">
        <f t="shared" si="2"/>
        <v>890.75955765433196</v>
      </c>
      <c r="E113" s="4">
        <v>4.6354136227084419</v>
      </c>
      <c r="F113" s="5">
        <v>6000</v>
      </c>
      <c r="G113" s="8">
        <v>1</v>
      </c>
    </row>
    <row r="114" spans="1:7" x14ac:dyDescent="0.2">
      <c r="A114" s="7">
        <v>45017</v>
      </c>
      <c r="B114" s="7" t="s">
        <v>79</v>
      </c>
      <c r="C114" s="4">
        <v>6.8821334938958909</v>
      </c>
      <c r="D114" s="13">
        <f t="shared" si="2"/>
        <v>5.0995938517997512</v>
      </c>
      <c r="E114" s="4">
        <v>1.7825396420961401</v>
      </c>
      <c r="F114" s="5">
        <v>6000</v>
      </c>
      <c r="G114" s="8">
        <v>1</v>
      </c>
    </row>
    <row r="115" spans="1:7" x14ac:dyDescent="0.2">
      <c r="A115" s="7">
        <v>45047</v>
      </c>
      <c r="B115" s="7" t="s">
        <v>79</v>
      </c>
      <c r="C115" s="4">
        <v>345.3398684494814</v>
      </c>
      <c r="D115" s="13">
        <f t="shared" si="2"/>
        <v>343.38351004185904</v>
      </c>
      <c r="E115" s="4">
        <v>1.9563584076223712</v>
      </c>
      <c r="F115" s="5">
        <v>6000</v>
      </c>
      <c r="G115" s="8">
        <v>1</v>
      </c>
    </row>
    <row r="116" spans="1:7" x14ac:dyDescent="0.2">
      <c r="A116" s="7">
        <v>45078</v>
      </c>
      <c r="B116" s="7" t="s">
        <v>79</v>
      </c>
      <c r="C116" s="4">
        <v>348.2273734223985</v>
      </c>
      <c r="D116" s="13">
        <f t="shared" si="2"/>
        <v>348.2273734223985</v>
      </c>
      <c r="E116" s="4">
        <v>0</v>
      </c>
      <c r="F116" s="5">
        <v>6000</v>
      </c>
      <c r="G116" s="8">
        <v>1</v>
      </c>
    </row>
    <row r="117" spans="1:7" x14ac:dyDescent="0.2">
      <c r="A117" s="7">
        <v>45108</v>
      </c>
      <c r="B117" s="7" t="s">
        <v>79</v>
      </c>
      <c r="C117" s="4">
        <v>599.08865561767311</v>
      </c>
      <c r="D117" s="13">
        <f t="shared" si="2"/>
        <v>597.19380639735357</v>
      </c>
      <c r="E117" s="4">
        <v>1.8948492203195955</v>
      </c>
      <c r="F117" s="5">
        <v>7000</v>
      </c>
      <c r="G117" s="8">
        <v>1</v>
      </c>
    </row>
    <row r="118" spans="1:7" x14ac:dyDescent="0.2">
      <c r="A118" s="7">
        <v>45139</v>
      </c>
      <c r="B118" s="7" t="s">
        <v>79</v>
      </c>
      <c r="C118" s="4">
        <v>457.04803803160519</v>
      </c>
      <c r="D118" s="13">
        <f t="shared" si="2"/>
        <v>457.04803803160519</v>
      </c>
      <c r="E118" s="4">
        <v>0</v>
      </c>
      <c r="F118" s="5">
        <v>7000</v>
      </c>
      <c r="G118" s="8">
        <v>1</v>
      </c>
    </row>
    <row r="119" spans="1:7" x14ac:dyDescent="0.2">
      <c r="A119" s="7">
        <v>45170</v>
      </c>
      <c r="B119" s="7" t="s">
        <v>79</v>
      </c>
      <c r="C119" s="4">
        <v>589.17204253282705</v>
      </c>
      <c r="D119" s="13">
        <f t="shared" si="2"/>
        <v>584.36545493455253</v>
      </c>
      <c r="E119" s="4">
        <v>4.8065875982744855</v>
      </c>
      <c r="F119" s="5">
        <v>7000</v>
      </c>
      <c r="G119" s="8">
        <v>1</v>
      </c>
    </row>
    <row r="120" spans="1:7" x14ac:dyDescent="0.2">
      <c r="A120" s="7">
        <v>45200</v>
      </c>
      <c r="B120" s="7" t="s">
        <v>79</v>
      </c>
      <c r="C120" s="4">
        <v>1179.1087097734051</v>
      </c>
      <c r="D120" s="13">
        <f t="shared" si="2"/>
        <v>1179.1087097734051</v>
      </c>
      <c r="E120" s="4">
        <v>0</v>
      </c>
      <c r="F120" s="5">
        <v>7000</v>
      </c>
      <c r="G120" s="8">
        <v>1</v>
      </c>
    </row>
    <row r="121" spans="1:7" x14ac:dyDescent="0.2">
      <c r="A121" s="7">
        <v>45231</v>
      </c>
      <c r="B121" s="7" t="s">
        <v>79</v>
      </c>
      <c r="C121" s="4">
        <v>564.42806356688538</v>
      </c>
      <c r="D121" s="13">
        <f t="shared" si="2"/>
        <v>563.61005130414662</v>
      </c>
      <c r="E121" s="4">
        <v>0.81801226273879146</v>
      </c>
      <c r="F121" s="5">
        <v>7000</v>
      </c>
      <c r="G121" s="8">
        <v>1</v>
      </c>
    </row>
    <row r="122" spans="1:7" x14ac:dyDescent="0.2">
      <c r="A122" s="7">
        <v>45261</v>
      </c>
      <c r="B122" s="7" t="s">
        <v>79</v>
      </c>
      <c r="C122" s="4">
        <v>625.7397543221897</v>
      </c>
      <c r="D122" s="13">
        <f t="shared" si="2"/>
        <v>625.7397543221897</v>
      </c>
      <c r="E122" s="4">
        <v>0</v>
      </c>
      <c r="F122" s="5">
        <v>7000</v>
      </c>
      <c r="G122" s="8">
        <v>1</v>
      </c>
    </row>
    <row r="123" spans="1:7" x14ac:dyDescent="0.2">
      <c r="A123" s="7">
        <v>45292</v>
      </c>
      <c r="B123" s="7" t="s">
        <v>79</v>
      </c>
      <c r="C123" s="4">
        <v>132.40960675052136</v>
      </c>
      <c r="D123" s="13">
        <f t="shared" si="2"/>
        <v>125.63915335153655</v>
      </c>
      <c r="E123" s="4">
        <v>6.7704533989848104</v>
      </c>
      <c r="F123" s="5">
        <v>7000</v>
      </c>
      <c r="G123" s="8">
        <v>1</v>
      </c>
    </row>
    <row r="124" spans="1:7" x14ac:dyDescent="0.2">
      <c r="A124" s="7">
        <v>45323</v>
      </c>
      <c r="B124" s="7" t="s">
        <v>79</v>
      </c>
      <c r="C124" s="4">
        <v>609.28541738053639</v>
      </c>
      <c r="D124" s="13">
        <f t="shared" si="2"/>
        <v>609.28541738053639</v>
      </c>
      <c r="E124" s="4">
        <v>0</v>
      </c>
      <c r="F124" s="5">
        <v>8000</v>
      </c>
      <c r="G124" s="8">
        <v>1</v>
      </c>
    </row>
    <row r="125" spans="1:7" x14ac:dyDescent="0.2">
      <c r="A125" s="7">
        <v>45352</v>
      </c>
      <c r="B125" s="7" t="s">
        <v>79</v>
      </c>
      <c r="C125" s="4">
        <v>464.94312780868233</v>
      </c>
      <c r="D125" s="13">
        <f t="shared" si="2"/>
        <v>456.7941321135807</v>
      </c>
      <c r="E125" s="4">
        <v>8.14899569510162</v>
      </c>
      <c r="F125" s="5">
        <v>8000</v>
      </c>
      <c r="G125" s="8">
        <v>1</v>
      </c>
    </row>
    <row r="126" spans="1:7" x14ac:dyDescent="0.2">
      <c r="A126" s="7">
        <v>45383</v>
      </c>
      <c r="B126" s="7" t="s">
        <v>79</v>
      </c>
      <c r="C126" s="4">
        <v>307.68821666573143</v>
      </c>
      <c r="D126" s="13">
        <f t="shared" si="2"/>
        <v>306.64522812440208</v>
      </c>
      <c r="E126" s="4">
        <v>1.0429885413293669</v>
      </c>
      <c r="F126" s="5">
        <v>8000</v>
      </c>
      <c r="G126" s="8">
        <v>1</v>
      </c>
    </row>
    <row r="127" spans="1:7" x14ac:dyDescent="0.2">
      <c r="A127" s="7">
        <v>45413</v>
      </c>
      <c r="B127" s="7" t="s">
        <v>79</v>
      </c>
      <c r="C127" s="4">
        <v>113.52192667548196</v>
      </c>
      <c r="D127" s="13">
        <f t="shared" si="2"/>
        <v>109.35818200117491</v>
      </c>
      <c r="E127" s="4">
        <v>4.1637446743070585</v>
      </c>
      <c r="F127" s="5">
        <v>8000</v>
      </c>
      <c r="G127" s="8">
        <v>1</v>
      </c>
    </row>
    <row r="128" spans="1:7" x14ac:dyDescent="0.2">
      <c r="A128" s="7">
        <v>45444</v>
      </c>
      <c r="B128" s="7" t="s">
        <v>79</v>
      </c>
      <c r="C128" s="4">
        <v>241.00854355340599</v>
      </c>
      <c r="D128" s="13">
        <f t="shared" si="2"/>
        <v>231.11074894328016</v>
      </c>
      <c r="E128" s="4">
        <v>9.8977946101258425</v>
      </c>
      <c r="F128" s="5">
        <v>8000</v>
      </c>
      <c r="G128" s="8">
        <v>1</v>
      </c>
    </row>
    <row r="129" spans="1:7" x14ac:dyDescent="0.2">
      <c r="A129" s="7">
        <v>45474</v>
      </c>
      <c r="B129" s="7" t="s">
        <v>79</v>
      </c>
      <c r="C129" s="4">
        <v>89.165344459063164</v>
      </c>
      <c r="D129" s="13">
        <f t="shared" si="2"/>
        <v>83.725324806157829</v>
      </c>
      <c r="E129" s="4">
        <v>5.440019652905332</v>
      </c>
      <c r="F129" s="5">
        <v>8000</v>
      </c>
      <c r="G129" s="8">
        <v>1</v>
      </c>
    </row>
    <row r="130" spans="1:7" x14ac:dyDescent="0.2">
      <c r="A130" s="7">
        <v>45505</v>
      </c>
      <c r="B130" s="7" t="s">
        <v>79</v>
      </c>
      <c r="C130" s="4">
        <v>1050.9203049128967</v>
      </c>
      <c r="D130" s="13">
        <f t="shared" si="2"/>
        <v>1050.5979993809628</v>
      </c>
      <c r="E130" s="4">
        <v>0.32230553193382627</v>
      </c>
      <c r="F130" s="5">
        <v>8000</v>
      </c>
      <c r="G130" s="8">
        <v>1</v>
      </c>
    </row>
    <row r="131" spans="1:7" x14ac:dyDescent="0.2">
      <c r="A131" s="7">
        <v>45536</v>
      </c>
      <c r="B131" s="7" t="s">
        <v>79</v>
      </c>
      <c r="C131" s="4">
        <v>106.85396190158635</v>
      </c>
      <c r="D131" s="13">
        <f t="shared" si="2"/>
        <v>88.897695827020655</v>
      </c>
      <c r="E131" s="4">
        <v>17.956266074565686</v>
      </c>
      <c r="F131" s="5">
        <v>9000</v>
      </c>
      <c r="G131" s="8">
        <v>1</v>
      </c>
    </row>
    <row r="132" spans="1:7" x14ac:dyDescent="0.2">
      <c r="A132" s="7">
        <v>45566</v>
      </c>
      <c r="B132" s="7" t="s">
        <v>79</v>
      </c>
      <c r="C132" s="4">
        <v>460.44313420757726</v>
      </c>
      <c r="D132" s="13">
        <f t="shared" si="2"/>
        <v>446.58956309417351</v>
      </c>
      <c r="E132" s="4">
        <v>13.853571113403744</v>
      </c>
      <c r="F132" s="5">
        <v>9000</v>
      </c>
      <c r="G132" s="8">
        <v>1</v>
      </c>
    </row>
    <row r="133" spans="1:7" x14ac:dyDescent="0.2">
      <c r="A133" s="7">
        <v>45597</v>
      </c>
      <c r="B133" s="7" t="s">
        <v>79</v>
      </c>
      <c r="C133" s="4">
        <v>114.28310911924567</v>
      </c>
      <c r="D133" s="13">
        <f t="shared" si="2"/>
        <v>108.5469524981759</v>
      </c>
      <c r="E133" s="4">
        <v>5.7361566210697648</v>
      </c>
      <c r="F133" s="5">
        <v>9000</v>
      </c>
      <c r="G133" s="8">
        <v>1</v>
      </c>
    </row>
    <row r="134" spans="1:7" x14ac:dyDescent="0.2">
      <c r="A134" s="7">
        <v>45627</v>
      </c>
      <c r="B134" s="7" t="s">
        <v>79</v>
      </c>
      <c r="C134" s="4">
        <v>71.744662319710599</v>
      </c>
      <c r="D134" s="13">
        <f t="shared" si="2"/>
        <v>67.082524931324571</v>
      </c>
      <c r="E134" s="4">
        <v>4.6621373883860224</v>
      </c>
      <c r="F134" s="5">
        <v>9000</v>
      </c>
      <c r="G134" s="8">
        <v>1</v>
      </c>
    </row>
    <row r="135" spans="1:7" x14ac:dyDescent="0.2">
      <c r="A135" s="7">
        <v>45658</v>
      </c>
      <c r="B135" s="7" t="s">
        <v>79</v>
      </c>
      <c r="C135" s="4">
        <v>266.8545696084721</v>
      </c>
      <c r="D135" s="13">
        <f t="shared" si="2"/>
        <v>262.04705940074632</v>
      </c>
      <c r="E135" s="4">
        <v>4.8075102077257608</v>
      </c>
      <c r="F135" s="5">
        <v>9000</v>
      </c>
      <c r="G135" s="8">
        <v>1</v>
      </c>
    </row>
    <row r="136" spans="1:7" x14ac:dyDescent="0.2">
      <c r="A136" s="7">
        <v>45689</v>
      </c>
      <c r="B136" s="7" t="s">
        <v>79</v>
      </c>
      <c r="C136" s="4">
        <v>161.38170062051336</v>
      </c>
      <c r="D136" s="13">
        <f t="shared" si="2"/>
        <v>150.74392748889957</v>
      </c>
      <c r="E136" s="4">
        <v>10.637773131613795</v>
      </c>
      <c r="F136" s="5">
        <v>9000</v>
      </c>
      <c r="G136" s="8">
        <v>1</v>
      </c>
    </row>
    <row r="137" spans="1:7" x14ac:dyDescent="0.2">
      <c r="A137" s="7">
        <v>45717</v>
      </c>
      <c r="B137" s="7" t="s">
        <v>79</v>
      </c>
      <c r="C137" s="4">
        <v>141.97703874963096</v>
      </c>
      <c r="D137" s="13">
        <f t="shared" si="2"/>
        <v>140.93824530649741</v>
      </c>
      <c r="E137" s="4">
        <v>1.038793443133569</v>
      </c>
      <c r="F137" s="5">
        <v>9000</v>
      </c>
      <c r="G137" s="8">
        <v>1</v>
      </c>
    </row>
    <row r="138" spans="1:7" x14ac:dyDescent="0.2">
      <c r="A138" s="7">
        <v>45748</v>
      </c>
      <c r="B138" s="7" t="s">
        <v>79</v>
      </c>
      <c r="C138" s="4">
        <v>69.024738323764808</v>
      </c>
      <c r="D138" s="13">
        <f t="shared" si="2"/>
        <v>67.170773650236598</v>
      </c>
      <c r="E138" s="4">
        <v>1.8539646735282143</v>
      </c>
      <c r="F138" s="5">
        <v>10000</v>
      </c>
      <c r="G138" s="8">
        <v>1</v>
      </c>
    </row>
    <row r="139" spans="1:7" x14ac:dyDescent="0.2">
      <c r="A139" s="7">
        <v>45778</v>
      </c>
      <c r="B139" s="7" t="s">
        <v>79</v>
      </c>
      <c r="C139" s="4">
        <v>45.701219357546208</v>
      </c>
      <c r="D139" s="13">
        <f t="shared" si="2"/>
        <v>42.07918484363222</v>
      </c>
      <c r="E139" s="4">
        <v>3.6220345139139893</v>
      </c>
      <c r="F139" s="5">
        <v>10000</v>
      </c>
      <c r="G139" s="8">
        <v>1</v>
      </c>
    </row>
    <row r="140" spans="1:7" x14ac:dyDescent="0.2">
      <c r="A140" s="7">
        <v>45809</v>
      </c>
      <c r="B140" s="7" t="s">
        <v>79</v>
      </c>
      <c r="C140" s="4">
        <v>146.21093583543649</v>
      </c>
      <c r="D140" s="13">
        <f t="shared" si="2"/>
        <v>139.86834552291245</v>
      </c>
      <c r="E140" s="4">
        <v>6.3425903125240302</v>
      </c>
      <c r="F140" s="5">
        <v>10000</v>
      </c>
      <c r="G140" s="8">
        <v>1</v>
      </c>
    </row>
    <row r="141" spans="1:7" x14ac:dyDescent="0.2">
      <c r="A141" s="7">
        <v>45839</v>
      </c>
      <c r="B141" s="7" t="s">
        <v>79</v>
      </c>
      <c r="C141" s="4">
        <v>285.72213956023643</v>
      </c>
      <c r="D141" s="13">
        <f t="shared" si="2"/>
        <v>284.83412508040681</v>
      </c>
      <c r="E141" s="4">
        <v>0.888014479829625</v>
      </c>
      <c r="F141" s="5">
        <v>10000</v>
      </c>
      <c r="G141" s="8">
        <v>1</v>
      </c>
    </row>
    <row r="142" spans="1:7" x14ac:dyDescent="0.2">
      <c r="A142" s="7">
        <v>45870</v>
      </c>
      <c r="B142" s="7" t="s">
        <v>79</v>
      </c>
      <c r="C142" s="4">
        <v>15.339585014816048</v>
      </c>
      <c r="D142" s="13">
        <f t="shared" si="2"/>
        <v>14.249947338740593</v>
      </c>
      <c r="E142" s="4">
        <v>1.0896376760754556</v>
      </c>
      <c r="F142" s="5">
        <v>10000</v>
      </c>
      <c r="G142" s="8">
        <v>1</v>
      </c>
    </row>
    <row r="143" spans="1:7" x14ac:dyDescent="0.2">
      <c r="A143" s="7">
        <v>45901</v>
      </c>
      <c r="B143" s="7" t="s">
        <v>79</v>
      </c>
      <c r="C143" s="4">
        <v>395.9171201251969</v>
      </c>
      <c r="D143" s="13">
        <f t="shared" si="2"/>
        <v>392.95818248680536</v>
      </c>
      <c r="E143" s="4">
        <v>2.9589376383915647</v>
      </c>
      <c r="F143" s="5">
        <v>10000</v>
      </c>
      <c r="G143" s="8">
        <v>1</v>
      </c>
    </row>
    <row r="144" spans="1:7" x14ac:dyDescent="0.2">
      <c r="A144" s="7">
        <v>45931</v>
      </c>
      <c r="B144" s="7" t="s">
        <v>79</v>
      </c>
      <c r="C144" s="4">
        <v>82.758373345709245</v>
      </c>
      <c r="D144" s="13">
        <f t="shared" si="2"/>
        <v>70.474630669516941</v>
      </c>
      <c r="E144" s="4">
        <v>12.283742676192308</v>
      </c>
      <c r="F144" s="5">
        <v>10000</v>
      </c>
      <c r="G144" s="8">
        <v>1</v>
      </c>
    </row>
    <row r="145" spans="1:7" x14ac:dyDescent="0.2">
      <c r="A145" s="7">
        <v>45962</v>
      </c>
      <c r="B145" s="7" t="s">
        <v>79</v>
      </c>
      <c r="C145" s="4">
        <v>802.00044430284913</v>
      </c>
      <c r="D145" s="13">
        <f t="shared" si="2"/>
        <v>793.17094831550844</v>
      </c>
      <c r="E145" s="4">
        <v>8.8294959873406551</v>
      </c>
      <c r="F145" s="5">
        <v>10000</v>
      </c>
      <c r="G145" s="8">
        <v>1</v>
      </c>
    </row>
    <row r="146" spans="1:7" x14ac:dyDescent="0.2">
      <c r="A146" s="7">
        <v>45992</v>
      </c>
      <c r="B146" s="7" t="s">
        <v>79</v>
      </c>
      <c r="C146" s="4">
        <v>11.037855189159195</v>
      </c>
      <c r="D146" s="13">
        <f t="shared" si="2"/>
        <v>1.1688085484010386</v>
      </c>
      <c r="E146" s="4">
        <v>9.8690466407581567</v>
      </c>
      <c r="F146" s="5">
        <v>10000</v>
      </c>
      <c r="G146" s="8">
        <v>1</v>
      </c>
    </row>
    <row r="147" spans="1:7" x14ac:dyDescent="0.2">
      <c r="A147" s="7">
        <v>46023</v>
      </c>
      <c r="B147" s="7" t="s">
        <v>79</v>
      </c>
      <c r="C147" s="4">
        <v>198.94245996675625</v>
      </c>
      <c r="D147" s="13">
        <f t="shared" si="2"/>
        <v>190.94058317180651</v>
      </c>
      <c r="E147" s="4">
        <v>8.0018767949497391</v>
      </c>
      <c r="F147" s="5">
        <v>10000</v>
      </c>
      <c r="G147" s="8">
        <v>1</v>
      </c>
    </row>
    <row r="148" spans="1:7" x14ac:dyDescent="0.2">
      <c r="A148" s="7">
        <v>46113</v>
      </c>
      <c r="B148" s="7" t="s">
        <v>79</v>
      </c>
      <c r="C148" s="4">
        <v>82.758373345709245</v>
      </c>
      <c r="D148" s="13">
        <f t="shared" si="2"/>
        <v>77.95086313798349</v>
      </c>
      <c r="E148" s="4">
        <v>4.8075102077257608</v>
      </c>
      <c r="F148" s="5">
        <v>10000</v>
      </c>
      <c r="G148" s="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A0C3A-A85A-0A43-A93B-26A07B47EA4D}">
  <sheetPr>
    <tabColor theme="2" tint="-9.9978637043366805E-2"/>
  </sheetPr>
  <dimension ref="A1:L9"/>
  <sheetViews>
    <sheetView workbookViewId="0">
      <selection activeCell="A6" sqref="A6"/>
    </sheetView>
  </sheetViews>
  <sheetFormatPr baseColWidth="10" defaultColWidth="11" defaultRowHeight="16" x14ac:dyDescent="0.2"/>
  <cols>
    <col min="1" max="1" width="28.83203125" customWidth="1"/>
    <col min="2" max="2" width="15.6640625" bestFit="1" customWidth="1"/>
    <col min="3" max="3" width="15.5" bestFit="1" customWidth="1"/>
    <col min="4" max="4" width="15.5" customWidth="1"/>
    <col min="5" max="5" width="13" bestFit="1" customWidth="1"/>
    <col min="9" max="9" width="14" bestFit="1" customWidth="1"/>
    <col min="11" max="11" width="17.1640625" bestFit="1" customWidth="1"/>
  </cols>
  <sheetData>
    <row r="1" spans="1:12" x14ac:dyDescent="0.2">
      <c r="A1" t="s">
        <v>58</v>
      </c>
      <c r="B1" t="s">
        <v>36</v>
      </c>
      <c r="C1" t="s">
        <v>17</v>
      </c>
      <c r="D1" t="s">
        <v>57</v>
      </c>
      <c r="E1" t="s">
        <v>18</v>
      </c>
      <c r="F1" t="s">
        <v>19</v>
      </c>
      <c r="G1" t="s">
        <v>33</v>
      </c>
      <c r="H1" t="s">
        <v>39</v>
      </c>
      <c r="I1" t="s">
        <v>54</v>
      </c>
      <c r="J1" t="s">
        <v>34</v>
      </c>
      <c r="K1" t="s">
        <v>35</v>
      </c>
      <c r="L1" t="s">
        <v>20</v>
      </c>
    </row>
    <row r="2" spans="1:12" x14ac:dyDescent="0.2">
      <c r="A2" t="str">
        <f>SUBSTITUTE(E2," ","")&amp;SUBSTITUTE(C2," ","")&amp;YEAR(F2)</f>
        <v>InstitutionASavings2020</v>
      </c>
      <c r="B2" t="s">
        <v>9</v>
      </c>
      <c r="C2" t="s">
        <v>6</v>
      </c>
      <c r="D2" t="s">
        <v>55</v>
      </c>
      <c r="E2" t="s">
        <v>59</v>
      </c>
      <c r="F2" s="1">
        <v>43831</v>
      </c>
      <c r="G2">
        <v>0</v>
      </c>
      <c r="H2">
        <v>0</v>
      </c>
      <c r="I2">
        <v>1</v>
      </c>
      <c r="J2" s="3">
        <v>3.2500000000000001E-2</v>
      </c>
      <c r="K2">
        <v>365</v>
      </c>
      <c r="L2" t="s">
        <v>21</v>
      </c>
    </row>
    <row r="3" spans="1:12" x14ac:dyDescent="0.2">
      <c r="A3" t="str">
        <f t="shared" ref="A3:A8" si="0">SUBSTITUTE(E3," ","")&amp;SUBSTITUTE(C3," ","")&amp;YEAR(F3)</f>
        <v>InstitutionBSavings2020</v>
      </c>
      <c r="B3" t="s">
        <v>6</v>
      </c>
      <c r="C3" t="s">
        <v>6</v>
      </c>
      <c r="D3" t="s">
        <v>55</v>
      </c>
      <c r="E3" t="s">
        <v>60</v>
      </c>
      <c r="F3" s="1">
        <v>43831</v>
      </c>
      <c r="G3">
        <v>0</v>
      </c>
      <c r="H3">
        <v>0</v>
      </c>
      <c r="I3">
        <v>1</v>
      </c>
      <c r="J3" s="3">
        <v>1E-4</v>
      </c>
      <c r="K3">
        <v>12</v>
      </c>
      <c r="L3" t="s">
        <v>22</v>
      </c>
    </row>
    <row r="4" spans="1:12" x14ac:dyDescent="0.2">
      <c r="A4" t="str">
        <f t="shared" si="0"/>
        <v>InstitutionBChecking2020</v>
      </c>
      <c r="B4" t="s">
        <v>7</v>
      </c>
      <c r="C4" t="s">
        <v>7</v>
      </c>
      <c r="D4" t="s">
        <v>55</v>
      </c>
      <c r="E4" t="s">
        <v>60</v>
      </c>
      <c r="F4" s="1">
        <v>43831</v>
      </c>
      <c r="G4">
        <v>0</v>
      </c>
      <c r="H4">
        <v>0</v>
      </c>
      <c r="I4">
        <v>0</v>
      </c>
      <c r="J4" s="3"/>
      <c r="L4" t="s">
        <v>23</v>
      </c>
    </row>
    <row r="5" spans="1:12" x14ac:dyDescent="0.2">
      <c r="A5" t="str">
        <f t="shared" si="0"/>
        <v>InstitutionCRothIRA2020</v>
      </c>
      <c r="B5" t="s">
        <v>8</v>
      </c>
      <c r="C5" t="s">
        <v>8</v>
      </c>
      <c r="D5" t="s">
        <v>56</v>
      </c>
      <c r="E5" t="s">
        <v>61</v>
      </c>
      <c r="F5" s="1">
        <v>43831</v>
      </c>
      <c r="G5">
        <v>0</v>
      </c>
      <c r="H5">
        <v>0</v>
      </c>
      <c r="I5">
        <v>0</v>
      </c>
      <c r="J5" s="3"/>
      <c r="L5" t="s">
        <v>24</v>
      </c>
    </row>
    <row r="6" spans="1:12" x14ac:dyDescent="0.2">
      <c r="A6" t="str">
        <f t="shared" si="0"/>
        <v>InstitutionC401(k)2020</v>
      </c>
      <c r="B6" t="s">
        <v>10</v>
      </c>
      <c r="C6" t="s">
        <v>10</v>
      </c>
      <c r="D6" t="s">
        <v>56</v>
      </c>
      <c r="E6" t="s">
        <v>61</v>
      </c>
      <c r="F6" s="1">
        <v>43831</v>
      </c>
      <c r="G6">
        <v>0</v>
      </c>
      <c r="H6">
        <v>0</v>
      </c>
      <c r="I6">
        <v>0</v>
      </c>
      <c r="J6" s="3"/>
      <c r="L6" t="s">
        <v>25</v>
      </c>
    </row>
    <row r="7" spans="1:12" x14ac:dyDescent="0.2">
      <c r="A7" t="str">
        <f t="shared" si="0"/>
        <v>InstitutionDCD2020</v>
      </c>
      <c r="B7" t="s">
        <v>40</v>
      </c>
      <c r="C7" s="1" t="s">
        <v>37</v>
      </c>
      <c r="E7" t="s">
        <v>62</v>
      </c>
      <c r="F7" s="1">
        <v>43831</v>
      </c>
      <c r="G7">
        <v>1</v>
      </c>
      <c r="H7">
        <v>1</v>
      </c>
      <c r="I7">
        <v>0</v>
      </c>
      <c r="J7" s="3"/>
      <c r="L7" t="s">
        <v>26</v>
      </c>
    </row>
    <row r="8" spans="1:12" x14ac:dyDescent="0.2">
      <c r="A8" t="str">
        <f t="shared" si="0"/>
        <v>InstitutionESavings2020</v>
      </c>
      <c r="B8" t="s">
        <v>38</v>
      </c>
      <c r="C8" s="1" t="s">
        <v>6</v>
      </c>
      <c r="E8" t="s">
        <v>63</v>
      </c>
      <c r="F8" s="1">
        <v>43831</v>
      </c>
      <c r="G8">
        <v>1</v>
      </c>
      <c r="H8">
        <v>1</v>
      </c>
      <c r="I8">
        <v>0</v>
      </c>
      <c r="J8" s="3"/>
      <c r="L8" t="s">
        <v>27</v>
      </c>
    </row>
    <row r="9" spans="1:12" x14ac:dyDescent="0.2">
      <c r="C9" s="1"/>
      <c r="F9" s="1"/>
      <c r="J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AA14-1199-BE45-A31B-557258A49E10}">
  <sheetPr>
    <tabColor theme="2" tint="-9.9978637043366805E-2"/>
  </sheetPr>
  <dimension ref="A1:E3"/>
  <sheetViews>
    <sheetView workbookViewId="0">
      <selection activeCell="B3" sqref="B3"/>
    </sheetView>
  </sheetViews>
  <sheetFormatPr baseColWidth="10" defaultColWidth="11" defaultRowHeight="16" x14ac:dyDescent="0.2"/>
  <cols>
    <col min="1" max="1" width="12.33203125" bestFit="1" customWidth="1"/>
    <col min="2" max="2" width="12.33203125" customWidth="1"/>
    <col min="3" max="3" width="8.33203125" bestFit="1" customWidth="1"/>
  </cols>
  <sheetData>
    <row r="1" spans="1:5" x14ac:dyDescent="0.2">
      <c r="A1" t="s">
        <v>43</v>
      </c>
      <c r="B1" t="s">
        <v>44</v>
      </c>
      <c r="C1" t="s">
        <v>18</v>
      </c>
      <c r="D1" t="s">
        <v>19</v>
      </c>
      <c r="E1" t="s">
        <v>28</v>
      </c>
    </row>
    <row r="2" spans="1:5" x14ac:dyDescent="0.2">
      <c r="A2" t="str">
        <f>SUBSTITUTE(C2&amp;YEAR(D2)," ","")</f>
        <v>CardA2020</v>
      </c>
      <c r="B2" t="s">
        <v>76</v>
      </c>
      <c r="C2" t="s">
        <v>76</v>
      </c>
      <c r="D2" s="1">
        <v>43831</v>
      </c>
      <c r="E2">
        <v>10000</v>
      </c>
    </row>
    <row r="3" spans="1:5" x14ac:dyDescent="0.2">
      <c r="A3" t="str">
        <f>SUBSTITUTE(C3&amp;YEAR(D3)," ","")</f>
        <v>CardB2020</v>
      </c>
      <c r="B3" t="s">
        <v>77</v>
      </c>
      <c r="C3" t="s">
        <v>77</v>
      </c>
      <c r="D3" s="1">
        <v>43831</v>
      </c>
      <c r="E3"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9116-1D1B-B342-BB9C-2802A737100C}">
  <sheetPr>
    <tabColor rgb="FFFFC000"/>
  </sheetPr>
  <dimension ref="A1:C7"/>
  <sheetViews>
    <sheetView workbookViewId="0">
      <selection activeCell="C7" sqref="C7"/>
    </sheetView>
  </sheetViews>
  <sheetFormatPr baseColWidth="10" defaultColWidth="11" defaultRowHeight="16" x14ac:dyDescent="0.2"/>
  <cols>
    <col min="1" max="1" width="15.83203125" bestFit="1" customWidth="1"/>
    <col min="2" max="2" width="19.83203125" bestFit="1" customWidth="1"/>
    <col min="3" max="3" width="8.1640625" bestFit="1" customWidth="1"/>
    <col min="4" max="5" width="20.1640625" bestFit="1" customWidth="1"/>
  </cols>
  <sheetData>
    <row r="1" spans="1:3" x14ac:dyDescent="0.2">
      <c r="A1" s="2" t="s">
        <v>1</v>
      </c>
      <c r="B1" s="2" t="s">
        <v>29</v>
      </c>
    </row>
    <row r="2" spans="1:3" x14ac:dyDescent="0.2">
      <c r="A2" t="s">
        <v>41</v>
      </c>
      <c r="B2" t="s">
        <v>30</v>
      </c>
      <c r="C2">
        <v>1132.56</v>
      </c>
    </row>
    <row r="3" spans="1:3" x14ac:dyDescent="0.2">
      <c r="A3" t="s">
        <v>41</v>
      </c>
      <c r="B3" t="s">
        <v>31</v>
      </c>
      <c r="C3">
        <v>7095.76</v>
      </c>
    </row>
    <row r="4" spans="1:3" x14ac:dyDescent="0.2">
      <c r="A4" t="s">
        <v>41</v>
      </c>
      <c r="B4" t="s">
        <v>32</v>
      </c>
      <c r="C4">
        <v>0</v>
      </c>
    </row>
    <row r="5" spans="1:3" x14ac:dyDescent="0.2">
      <c r="A5" t="s">
        <v>42</v>
      </c>
      <c r="B5" t="s">
        <v>30</v>
      </c>
      <c r="C5">
        <v>1109.1100000000001</v>
      </c>
    </row>
    <row r="6" spans="1:3" x14ac:dyDescent="0.2">
      <c r="A6" t="s">
        <v>42</v>
      </c>
      <c r="B6" t="s">
        <v>31</v>
      </c>
      <c r="C6">
        <v>3104.2299999999991</v>
      </c>
    </row>
    <row r="7" spans="1:3" x14ac:dyDescent="0.2">
      <c r="A7" t="s">
        <v>42</v>
      </c>
      <c r="B7" t="s">
        <v>32</v>
      </c>
      <c r="C7">
        <v>2513.84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FFF5-4A0E-F549-AC15-396058CC64B9}">
  <sheetPr>
    <tabColor theme="9"/>
  </sheetPr>
  <dimension ref="A1:B75"/>
  <sheetViews>
    <sheetView topLeftCell="A60" workbookViewId="0">
      <selection activeCell="B75" sqref="B75"/>
    </sheetView>
  </sheetViews>
  <sheetFormatPr baseColWidth="10" defaultRowHeight="16" x14ac:dyDescent="0.2"/>
  <cols>
    <col min="1" max="1" width="10.83203125" style="6"/>
    <col min="2" max="2" width="10.83203125" style="11"/>
  </cols>
  <sheetData>
    <row r="1" spans="1:2" x14ac:dyDescent="0.2">
      <c r="A1" s="6" t="s">
        <v>46</v>
      </c>
      <c r="B1" s="11" t="s">
        <v>45</v>
      </c>
    </row>
    <row r="2" spans="1:2" x14ac:dyDescent="0.2">
      <c r="A2" s="7">
        <v>43831</v>
      </c>
      <c r="B2" s="12">
        <v>750</v>
      </c>
    </row>
    <row r="3" spans="1:2" x14ac:dyDescent="0.2">
      <c r="A3" s="7">
        <v>43862</v>
      </c>
      <c r="B3" s="12">
        <v>750</v>
      </c>
    </row>
    <row r="4" spans="1:2" x14ac:dyDescent="0.2">
      <c r="A4" s="7">
        <v>43891</v>
      </c>
      <c r="B4" s="12">
        <v>750</v>
      </c>
    </row>
    <row r="5" spans="1:2" x14ac:dyDescent="0.2">
      <c r="A5" s="7">
        <v>43922</v>
      </c>
      <c r="B5" s="12">
        <v>750</v>
      </c>
    </row>
    <row r="6" spans="1:2" x14ac:dyDescent="0.2">
      <c r="A6" s="7">
        <v>43952</v>
      </c>
      <c r="B6" s="12">
        <v>750</v>
      </c>
    </row>
    <row r="7" spans="1:2" x14ac:dyDescent="0.2">
      <c r="A7" s="7">
        <v>43983</v>
      </c>
      <c r="B7" s="12">
        <v>750</v>
      </c>
    </row>
    <row r="8" spans="1:2" x14ac:dyDescent="0.2">
      <c r="A8" s="7">
        <v>44013</v>
      </c>
      <c r="B8" s="12">
        <v>750</v>
      </c>
    </row>
    <row r="9" spans="1:2" x14ac:dyDescent="0.2">
      <c r="A9" s="7">
        <v>44044</v>
      </c>
      <c r="B9" s="12">
        <v>750</v>
      </c>
    </row>
    <row r="10" spans="1:2" x14ac:dyDescent="0.2">
      <c r="A10" s="7">
        <v>44075</v>
      </c>
      <c r="B10" s="12">
        <v>750</v>
      </c>
    </row>
    <row r="11" spans="1:2" x14ac:dyDescent="0.2">
      <c r="A11" s="7">
        <v>44105</v>
      </c>
      <c r="B11" s="12">
        <v>750</v>
      </c>
    </row>
    <row r="12" spans="1:2" x14ac:dyDescent="0.2">
      <c r="A12" s="7">
        <v>44136</v>
      </c>
      <c r="B12" s="12">
        <v>750</v>
      </c>
    </row>
    <row r="13" spans="1:2" x14ac:dyDescent="0.2">
      <c r="A13" s="7">
        <v>44166</v>
      </c>
      <c r="B13" s="12">
        <v>750</v>
      </c>
    </row>
    <row r="14" spans="1:2" x14ac:dyDescent="0.2">
      <c r="A14" s="7">
        <v>44197</v>
      </c>
      <c r="B14" s="12">
        <v>750</v>
      </c>
    </row>
    <row r="15" spans="1:2" x14ac:dyDescent="0.2">
      <c r="A15" s="7">
        <v>44228</v>
      </c>
      <c r="B15" s="12">
        <v>750</v>
      </c>
    </row>
    <row r="16" spans="1:2" x14ac:dyDescent="0.2">
      <c r="A16" s="7">
        <v>44256</v>
      </c>
      <c r="B16" s="12">
        <v>750</v>
      </c>
    </row>
    <row r="17" spans="1:2" x14ac:dyDescent="0.2">
      <c r="A17" s="7">
        <v>44287</v>
      </c>
      <c r="B17" s="12">
        <v>750</v>
      </c>
    </row>
    <row r="18" spans="1:2" x14ac:dyDescent="0.2">
      <c r="A18" s="7">
        <v>44317</v>
      </c>
      <c r="B18" s="12">
        <v>750</v>
      </c>
    </row>
    <row r="19" spans="1:2" x14ac:dyDescent="0.2">
      <c r="A19" s="7">
        <v>44348</v>
      </c>
      <c r="B19" s="12">
        <v>750</v>
      </c>
    </row>
    <row r="20" spans="1:2" x14ac:dyDescent="0.2">
      <c r="A20" s="7">
        <v>44378</v>
      </c>
      <c r="B20" s="12">
        <v>750</v>
      </c>
    </row>
    <row r="21" spans="1:2" x14ac:dyDescent="0.2">
      <c r="A21" s="7">
        <v>44409</v>
      </c>
      <c r="B21" s="12">
        <v>750</v>
      </c>
    </row>
    <row r="22" spans="1:2" x14ac:dyDescent="0.2">
      <c r="A22" s="7">
        <v>44440</v>
      </c>
      <c r="B22" s="12">
        <v>750</v>
      </c>
    </row>
    <row r="23" spans="1:2" x14ac:dyDescent="0.2">
      <c r="A23" s="7">
        <v>44470</v>
      </c>
      <c r="B23" s="12">
        <v>750</v>
      </c>
    </row>
    <row r="24" spans="1:2" x14ac:dyDescent="0.2">
      <c r="A24" s="7">
        <v>44501</v>
      </c>
      <c r="B24" s="12">
        <v>750</v>
      </c>
    </row>
    <row r="25" spans="1:2" x14ac:dyDescent="0.2">
      <c r="A25" s="7">
        <v>44531</v>
      </c>
      <c r="B25" s="12">
        <v>750</v>
      </c>
    </row>
    <row r="26" spans="1:2" x14ac:dyDescent="0.2">
      <c r="A26" s="7">
        <v>44562</v>
      </c>
      <c r="B26" s="12">
        <v>750</v>
      </c>
    </row>
    <row r="27" spans="1:2" x14ac:dyDescent="0.2">
      <c r="A27" s="7">
        <v>44593</v>
      </c>
      <c r="B27" s="12">
        <v>750</v>
      </c>
    </row>
    <row r="28" spans="1:2" x14ac:dyDescent="0.2">
      <c r="A28" s="7">
        <v>44621</v>
      </c>
      <c r="B28" s="12">
        <v>750</v>
      </c>
    </row>
    <row r="29" spans="1:2" x14ac:dyDescent="0.2">
      <c r="A29" s="7">
        <v>44652</v>
      </c>
      <c r="B29" s="12">
        <v>750</v>
      </c>
    </row>
    <row r="30" spans="1:2" x14ac:dyDescent="0.2">
      <c r="A30" s="7">
        <v>44682</v>
      </c>
      <c r="B30" s="12">
        <v>750</v>
      </c>
    </row>
    <row r="31" spans="1:2" x14ac:dyDescent="0.2">
      <c r="A31" s="7">
        <v>44713</v>
      </c>
      <c r="B31" s="12">
        <v>750</v>
      </c>
    </row>
    <row r="32" spans="1:2" x14ac:dyDescent="0.2">
      <c r="A32" s="7">
        <v>44743</v>
      </c>
      <c r="B32" s="12">
        <v>750</v>
      </c>
    </row>
    <row r="33" spans="1:2" x14ac:dyDescent="0.2">
      <c r="A33" s="7">
        <v>44774</v>
      </c>
      <c r="B33" s="12">
        <v>750</v>
      </c>
    </row>
    <row r="34" spans="1:2" x14ac:dyDescent="0.2">
      <c r="A34" s="7">
        <v>44805</v>
      </c>
      <c r="B34" s="12">
        <v>750</v>
      </c>
    </row>
    <row r="35" spans="1:2" x14ac:dyDescent="0.2">
      <c r="A35" s="7">
        <v>44835</v>
      </c>
      <c r="B35" s="12">
        <v>750</v>
      </c>
    </row>
    <row r="36" spans="1:2" x14ac:dyDescent="0.2">
      <c r="A36" s="7">
        <v>44866</v>
      </c>
      <c r="B36" s="12">
        <v>750</v>
      </c>
    </row>
    <row r="37" spans="1:2" x14ac:dyDescent="0.2">
      <c r="A37" s="7">
        <v>44896</v>
      </c>
      <c r="B37" s="12">
        <v>750</v>
      </c>
    </row>
    <row r="38" spans="1:2" x14ac:dyDescent="0.2">
      <c r="A38" s="7">
        <v>44927</v>
      </c>
      <c r="B38" s="12">
        <v>750</v>
      </c>
    </row>
    <row r="39" spans="1:2" x14ac:dyDescent="0.2">
      <c r="A39" s="7">
        <v>44958</v>
      </c>
      <c r="B39" s="12">
        <v>750</v>
      </c>
    </row>
    <row r="40" spans="1:2" x14ac:dyDescent="0.2">
      <c r="A40" s="7">
        <v>44986</v>
      </c>
      <c r="B40" s="12">
        <v>750</v>
      </c>
    </row>
    <row r="41" spans="1:2" x14ac:dyDescent="0.2">
      <c r="A41" s="7">
        <v>45017</v>
      </c>
      <c r="B41" s="12">
        <v>750</v>
      </c>
    </row>
    <row r="42" spans="1:2" x14ac:dyDescent="0.2">
      <c r="A42" s="7">
        <v>45047</v>
      </c>
      <c r="B42" s="12">
        <v>750</v>
      </c>
    </row>
    <row r="43" spans="1:2" x14ac:dyDescent="0.2">
      <c r="A43" s="7">
        <v>45078</v>
      </c>
      <c r="B43" s="12">
        <v>750</v>
      </c>
    </row>
    <row r="44" spans="1:2" x14ac:dyDescent="0.2">
      <c r="A44" s="7">
        <v>45108</v>
      </c>
      <c r="B44" s="12">
        <v>750</v>
      </c>
    </row>
    <row r="45" spans="1:2" x14ac:dyDescent="0.2">
      <c r="A45" s="7">
        <v>45139</v>
      </c>
      <c r="B45" s="12">
        <v>750</v>
      </c>
    </row>
    <row r="46" spans="1:2" x14ac:dyDescent="0.2">
      <c r="A46" s="7">
        <v>45170</v>
      </c>
      <c r="B46" s="12">
        <v>750</v>
      </c>
    </row>
    <row r="47" spans="1:2" x14ac:dyDescent="0.2">
      <c r="A47" s="7">
        <v>45200</v>
      </c>
      <c r="B47" s="12">
        <v>750</v>
      </c>
    </row>
    <row r="48" spans="1:2" x14ac:dyDescent="0.2">
      <c r="A48" s="7">
        <v>45231</v>
      </c>
      <c r="B48" s="12">
        <v>750</v>
      </c>
    </row>
    <row r="49" spans="1:2" x14ac:dyDescent="0.2">
      <c r="A49" s="7">
        <v>45261</v>
      </c>
      <c r="B49" s="12">
        <v>750</v>
      </c>
    </row>
    <row r="50" spans="1:2" x14ac:dyDescent="0.2">
      <c r="A50" s="7">
        <v>45292</v>
      </c>
      <c r="B50" s="12">
        <v>750</v>
      </c>
    </row>
    <row r="51" spans="1:2" x14ac:dyDescent="0.2">
      <c r="A51" s="7">
        <v>45323</v>
      </c>
      <c r="B51" s="12">
        <v>750</v>
      </c>
    </row>
    <row r="52" spans="1:2" x14ac:dyDescent="0.2">
      <c r="A52" s="7">
        <v>45352</v>
      </c>
      <c r="B52" s="12">
        <v>750</v>
      </c>
    </row>
    <row r="53" spans="1:2" x14ac:dyDescent="0.2">
      <c r="A53" s="7">
        <v>45383</v>
      </c>
      <c r="B53" s="12">
        <v>750</v>
      </c>
    </row>
    <row r="54" spans="1:2" x14ac:dyDescent="0.2">
      <c r="A54" s="7">
        <v>45413</v>
      </c>
      <c r="B54" s="12">
        <v>750</v>
      </c>
    </row>
    <row r="55" spans="1:2" x14ac:dyDescent="0.2">
      <c r="A55" s="7">
        <v>45444</v>
      </c>
      <c r="B55" s="12">
        <v>750</v>
      </c>
    </row>
    <row r="56" spans="1:2" x14ac:dyDescent="0.2">
      <c r="A56" s="7">
        <v>45474</v>
      </c>
      <c r="B56" s="12">
        <v>750</v>
      </c>
    </row>
    <row r="57" spans="1:2" x14ac:dyDescent="0.2">
      <c r="A57" s="7">
        <v>45505</v>
      </c>
      <c r="B57" s="12">
        <v>750</v>
      </c>
    </row>
    <row r="58" spans="1:2" x14ac:dyDescent="0.2">
      <c r="A58" s="7">
        <v>45536</v>
      </c>
      <c r="B58" s="12">
        <v>750</v>
      </c>
    </row>
    <row r="59" spans="1:2" x14ac:dyDescent="0.2">
      <c r="A59" s="7">
        <v>45566</v>
      </c>
      <c r="B59" s="12">
        <v>750</v>
      </c>
    </row>
    <row r="60" spans="1:2" x14ac:dyDescent="0.2">
      <c r="A60" s="7">
        <v>45597</v>
      </c>
      <c r="B60" s="12">
        <v>750</v>
      </c>
    </row>
    <row r="61" spans="1:2" x14ac:dyDescent="0.2">
      <c r="A61" s="7">
        <v>45627</v>
      </c>
      <c r="B61" s="12">
        <v>750</v>
      </c>
    </row>
    <row r="62" spans="1:2" x14ac:dyDescent="0.2">
      <c r="A62" s="7">
        <v>45658</v>
      </c>
      <c r="B62" s="12">
        <v>750</v>
      </c>
    </row>
    <row r="63" spans="1:2" x14ac:dyDescent="0.2">
      <c r="A63" s="7">
        <v>45689</v>
      </c>
      <c r="B63" s="12">
        <v>750</v>
      </c>
    </row>
    <row r="64" spans="1:2" x14ac:dyDescent="0.2">
      <c r="A64" s="7">
        <v>45717</v>
      </c>
      <c r="B64" s="12">
        <v>750</v>
      </c>
    </row>
    <row r="65" spans="1:2" x14ac:dyDescent="0.2">
      <c r="A65" s="7">
        <v>45748</v>
      </c>
      <c r="B65" s="12">
        <v>750</v>
      </c>
    </row>
    <row r="66" spans="1:2" x14ac:dyDescent="0.2">
      <c r="A66" s="7">
        <v>45778</v>
      </c>
      <c r="B66" s="12">
        <v>750</v>
      </c>
    </row>
    <row r="67" spans="1:2" x14ac:dyDescent="0.2">
      <c r="A67" s="7">
        <v>45809</v>
      </c>
      <c r="B67" s="12">
        <v>750</v>
      </c>
    </row>
    <row r="68" spans="1:2" x14ac:dyDescent="0.2">
      <c r="A68" s="7">
        <v>45839</v>
      </c>
      <c r="B68" s="12">
        <v>750</v>
      </c>
    </row>
    <row r="69" spans="1:2" x14ac:dyDescent="0.2">
      <c r="A69" s="7">
        <v>45870</v>
      </c>
      <c r="B69" s="12">
        <v>750</v>
      </c>
    </row>
    <row r="70" spans="1:2" x14ac:dyDescent="0.2">
      <c r="A70" s="7">
        <v>45901</v>
      </c>
      <c r="B70" s="12">
        <v>750</v>
      </c>
    </row>
    <row r="71" spans="1:2" x14ac:dyDescent="0.2">
      <c r="A71" s="7">
        <v>45931</v>
      </c>
      <c r="B71" s="12">
        <v>750</v>
      </c>
    </row>
    <row r="72" spans="1:2" x14ac:dyDescent="0.2">
      <c r="A72" s="7">
        <v>45962</v>
      </c>
      <c r="B72" s="12">
        <v>750</v>
      </c>
    </row>
    <row r="73" spans="1:2" x14ac:dyDescent="0.2">
      <c r="A73" s="7">
        <v>45992</v>
      </c>
      <c r="B73" s="12">
        <v>750</v>
      </c>
    </row>
    <row r="74" spans="1:2" x14ac:dyDescent="0.2">
      <c r="A74" s="7">
        <v>46023</v>
      </c>
      <c r="B74" s="12">
        <v>750</v>
      </c>
    </row>
    <row r="75" spans="1:2" x14ac:dyDescent="0.2">
      <c r="A75" s="7">
        <v>46113</v>
      </c>
      <c r="B75" s="12">
        <v>750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2E1E-5B00-3445-9D33-6A14E12006FF}">
  <sheetPr>
    <tabColor theme="2" tint="-9.9978637043366805E-2"/>
  </sheetPr>
  <dimension ref="A1:B3"/>
  <sheetViews>
    <sheetView tabSelected="1" workbookViewId="0">
      <selection activeCell="B4" sqref="B4"/>
    </sheetView>
  </sheetViews>
  <sheetFormatPr baseColWidth="10" defaultRowHeight="16" x14ac:dyDescent="0.2"/>
  <cols>
    <col min="1" max="1" width="18" bestFit="1" customWidth="1"/>
  </cols>
  <sheetData>
    <row r="1" spans="1:2" x14ac:dyDescent="0.2">
      <c r="A1" t="s">
        <v>47</v>
      </c>
      <c r="B1" t="s">
        <v>48</v>
      </c>
    </row>
    <row r="2" spans="1:2" x14ac:dyDescent="0.2">
      <c r="A2" t="s">
        <v>71</v>
      </c>
      <c r="B2">
        <v>5.99</v>
      </c>
    </row>
    <row r="3" spans="1:2" x14ac:dyDescent="0.2">
      <c r="A3" t="s">
        <v>72</v>
      </c>
      <c r="B3">
        <v>15.99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D454-64DE-5242-AF03-C377198D0F82}">
  <sheetPr>
    <tabColor theme="9"/>
  </sheetPr>
  <dimension ref="A1:E7"/>
  <sheetViews>
    <sheetView workbookViewId="0">
      <selection activeCell="M32" sqref="M32"/>
    </sheetView>
  </sheetViews>
  <sheetFormatPr baseColWidth="10" defaultRowHeight="16" x14ac:dyDescent="0.2"/>
  <cols>
    <col min="1" max="1" width="10.83203125" style="6"/>
    <col min="2" max="2" width="21.1640625" style="6" bestFit="1" customWidth="1"/>
    <col min="3" max="3" width="10.83203125" style="6"/>
    <col min="4" max="4" width="10.83203125" style="4"/>
    <col min="5" max="5" width="10.83203125" style="8"/>
  </cols>
  <sheetData>
    <row r="1" spans="1:5" x14ac:dyDescent="0.2">
      <c r="A1" s="6" t="s">
        <v>49</v>
      </c>
      <c r="B1" s="6" t="s">
        <v>50</v>
      </c>
      <c r="C1" s="6" t="s">
        <v>46</v>
      </c>
      <c r="D1" s="4" t="s">
        <v>51</v>
      </c>
      <c r="E1" s="8" t="s">
        <v>52</v>
      </c>
    </row>
    <row r="2" spans="1:5" x14ac:dyDescent="0.2">
      <c r="A2" s="6">
        <v>101</v>
      </c>
      <c r="B2" s="6" t="s">
        <v>73</v>
      </c>
      <c r="C2" s="7">
        <v>43831</v>
      </c>
      <c r="D2" s="10">
        <v>100</v>
      </c>
      <c r="E2" s="9" t="s">
        <v>53</v>
      </c>
    </row>
    <row r="3" spans="1:5" x14ac:dyDescent="0.2">
      <c r="A3" s="6">
        <v>102</v>
      </c>
      <c r="B3" s="6" t="s">
        <v>74</v>
      </c>
      <c r="C3" s="7">
        <v>44197</v>
      </c>
      <c r="D3" s="10">
        <v>100</v>
      </c>
      <c r="E3" s="9" t="s">
        <v>53</v>
      </c>
    </row>
    <row r="4" spans="1:5" x14ac:dyDescent="0.2">
      <c r="A4" s="6">
        <v>103</v>
      </c>
      <c r="B4" s="6" t="s">
        <v>75</v>
      </c>
      <c r="C4" s="7">
        <v>44562</v>
      </c>
      <c r="D4" s="10">
        <v>100</v>
      </c>
      <c r="E4" s="9" t="s">
        <v>53</v>
      </c>
    </row>
    <row r="5" spans="1:5" x14ac:dyDescent="0.2">
      <c r="C5" s="7"/>
      <c r="D5" s="10"/>
      <c r="E5" s="9"/>
    </row>
    <row r="6" spans="1:5" x14ac:dyDescent="0.2">
      <c r="C6" s="7"/>
      <c r="D6" s="10"/>
      <c r="E6" s="9"/>
    </row>
    <row r="7" spans="1:5" x14ac:dyDescent="0.2">
      <c r="C7" s="7"/>
      <c r="D7" s="10"/>
      <c r="E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Account Statements</vt:lpstr>
      <vt:lpstr>Credit Card Statements</vt:lpstr>
      <vt:lpstr>Account Info</vt:lpstr>
      <vt:lpstr>Credit Card Info</vt:lpstr>
      <vt:lpstr>Retirement</vt:lpstr>
      <vt:lpstr>Credit Score</vt:lpstr>
      <vt:lpstr>Subscriptions</vt:lpstr>
      <vt:lpstr>Check Ledger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John Gillis</dc:creator>
  <cp:keywords/>
  <dc:description/>
  <cp:lastModifiedBy>Michael John Gillis</cp:lastModifiedBy>
  <cp:revision/>
  <dcterms:created xsi:type="dcterms:W3CDTF">2025-12-16T03:09:27Z</dcterms:created>
  <dcterms:modified xsi:type="dcterms:W3CDTF">2026-05-14T19:05:30Z</dcterms:modified>
  <cp:category/>
  <cp:contentStatus/>
</cp:coreProperties>
</file>